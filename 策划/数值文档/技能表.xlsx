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695" windowHeight="13050"/>
  </bookViews>
  <sheets>
    <sheet name="Sheet1" sheetId="1" r:id="rId1"/>
    <sheet name="Sheet2" sheetId="6" r:id="rId2"/>
    <sheet name="Sheet3" sheetId="7" r:id="rId3"/>
  </sheets>
  <calcPr calcId="144525"/>
</workbook>
</file>

<file path=xl/calcChain.xml><?xml version="1.0" encoding="utf-8"?>
<calcChain xmlns="http://schemas.openxmlformats.org/spreadsheetml/2006/main">
  <c r="A43" i="7" l="1"/>
  <c r="A46" i="7" s="1"/>
  <c r="I41" i="7"/>
  <c r="I44" i="7" s="1"/>
  <c r="I47" i="7" s="1"/>
  <c r="I40" i="7"/>
  <c r="I43" i="7" s="1"/>
  <c r="I46" i="7" s="1"/>
  <c r="I49" i="7" s="1"/>
  <c r="A40" i="7"/>
  <c r="I39" i="7"/>
  <c r="I42" i="7" s="1"/>
  <c r="I45" i="7" s="1"/>
  <c r="I48" i="7" s="1"/>
  <c r="A39" i="7"/>
  <c r="F39" i="7" s="1"/>
  <c r="I38" i="7"/>
  <c r="C38" i="7"/>
  <c r="C39" i="7" s="1"/>
  <c r="C40" i="7" s="1"/>
  <c r="A38" i="7"/>
  <c r="A41" i="7" s="1"/>
  <c r="AK37" i="7"/>
  <c r="F37" i="7"/>
  <c r="AK36" i="7"/>
  <c r="F36" i="7"/>
  <c r="AK35" i="7"/>
  <c r="F35" i="7"/>
  <c r="C35" i="7"/>
  <c r="C36" i="7" s="1"/>
  <c r="C37" i="7" s="1"/>
  <c r="D34" i="7"/>
  <c r="D49" i="7" s="1"/>
  <c r="D33" i="7"/>
  <c r="D48" i="7" s="1"/>
  <c r="D32" i="7"/>
  <c r="D47" i="7" s="1"/>
  <c r="D31" i="7"/>
  <c r="D46" i="7" s="1"/>
  <c r="D30" i="7"/>
  <c r="D45" i="7" s="1"/>
  <c r="D29" i="7"/>
  <c r="D44" i="7" s="1"/>
  <c r="I28" i="7"/>
  <c r="I31" i="7" s="1"/>
  <c r="I34" i="7" s="1"/>
  <c r="D28" i="7"/>
  <c r="D43" i="7" s="1"/>
  <c r="A28" i="7"/>
  <c r="A31" i="7" s="1"/>
  <c r="D27" i="7"/>
  <c r="D42" i="7" s="1"/>
  <c r="I26" i="7"/>
  <c r="I29" i="7" s="1"/>
  <c r="I32" i="7" s="1"/>
  <c r="D26" i="7"/>
  <c r="D41" i="7" s="1"/>
  <c r="A26" i="7"/>
  <c r="A29" i="7" s="1"/>
  <c r="I25" i="7"/>
  <c r="D25" i="7"/>
  <c r="D40" i="7" s="1"/>
  <c r="A25" i="7"/>
  <c r="I24" i="7"/>
  <c r="I27" i="7" s="1"/>
  <c r="I30" i="7" s="1"/>
  <c r="I33" i="7" s="1"/>
  <c r="D24" i="7"/>
  <c r="D39" i="7" s="1"/>
  <c r="A24" i="7"/>
  <c r="A27" i="7" s="1"/>
  <c r="I23" i="7"/>
  <c r="D23" i="7"/>
  <c r="D38" i="7" s="1"/>
  <c r="C23" i="7"/>
  <c r="C24" i="7" s="1"/>
  <c r="C25" i="7" s="1"/>
  <c r="A23" i="7"/>
  <c r="F23" i="7" s="1"/>
  <c r="AK22" i="7"/>
  <c r="F22" i="7"/>
  <c r="E22" i="7"/>
  <c r="E37" i="7" s="1"/>
  <c r="D22" i="7"/>
  <c r="D37" i="7" s="1"/>
  <c r="AK21" i="7"/>
  <c r="F21" i="7"/>
  <c r="E21" i="7"/>
  <c r="E36" i="7" s="1"/>
  <c r="D21" i="7"/>
  <c r="D36" i="7" s="1"/>
  <c r="C21" i="7"/>
  <c r="C22" i="7" s="1"/>
  <c r="AK20" i="7"/>
  <c r="F20" i="7"/>
  <c r="E20" i="7"/>
  <c r="E35" i="7" s="1"/>
  <c r="D20" i="7"/>
  <c r="D35" i="7" s="1"/>
  <c r="C20" i="7"/>
  <c r="I13" i="7"/>
  <c r="I16" i="7" s="1"/>
  <c r="I19" i="7" s="1"/>
  <c r="G13" i="7"/>
  <c r="G16" i="7" s="1"/>
  <c r="G19" i="7" s="1"/>
  <c r="G22" i="7" s="1"/>
  <c r="G25" i="7" s="1"/>
  <c r="G28" i="7" s="1"/>
  <c r="G31" i="7" s="1"/>
  <c r="G34" i="7" s="1"/>
  <c r="G37" i="7" s="1"/>
  <c r="G40" i="7" s="1"/>
  <c r="G43" i="7" s="1"/>
  <c r="G46" i="7" s="1"/>
  <c r="G49" i="7" s="1"/>
  <c r="A13" i="7"/>
  <c r="A16" i="7" s="1"/>
  <c r="E12" i="7"/>
  <c r="E27" i="7" s="1"/>
  <c r="E42" i="7" s="1"/>
  <c r="I11" i="7"/>
  <c r="I14" i="7" s="1"/>
  <c r="I17" i="7" s="1"/>
  <c r="G11" i="7"/>
  <c r="G14" i="7" s="1"/>
  <c r="G17" i="7" s="1"/>
  <c r="G20" i="7" s="1"/>
  <c r="G23" i="7" s="1"/>
  <c r="G26" i="7" s="1"/>
  <c r="G29" i="7" s="1"/>
  <c r="G32" i="7" s="1"/>
  <c r="G35" i="7" s="1"/>
  <c r="G38" i="7" s="1"/>
  <c r="G41" i="7" s="1"/>
  <c r="G44" i="7" s="1"/>
  <c r="G47" i="7" s="1"/>
  <c r="C11" i="7"/>
  <c r="C12" i="7" s="1"/>
  <c r="C13" i="7" s="1"/>
  <c r="A11" i="7"/>
  <c r="A14" i="7" s="1"/>
  <c r="I10" i="7"/>
  <c r="G10" i="7"/>
  <c r="F10" i="7"/>
  <c r="E10" i="7"/>
  <c r="E25" i="7" s="1"/>
  <c r="E40" i="7" s="1"/>
  <c r="A10" i="7"/>
  <c r="I9" i="7"/>
  <c r="I12" i="7" s="1"/>
  <c r="I15" i="7" s="1"/>
  <c r="I18" i="7" s="1"/>
  <c r="G9" i="7"/>
  <c r="G12" i="7" s="1"/>
  <c r="G15" i="7" s="1"/>
  <c r="G18" i="7" s="1"/>
  <c r="G21" i="7" s="1"/>
  <c r="G24" i="7" s="1"/>
  <c r="G27" i="7" s="1"/>
  <c r="G30" i="7" s="1"/>
  <c r="G33" i="7" s="1"/>
  <c r="G36" i="7" s="1"/>
  <c r="G39" i="7" s="1"/>
  <c r="G42" i="7" s="1"/>
  <c r="G45" i="7" s="1"/>
  <c r="G48" i="7" s="1"/>
  <c r="E9" i="7"/>
  <c r="E24" i="7" s="1"/>
  <c r="E39" i="7" s="1"/>
  <c r="C9" i="7"/>
  <c r="C10" i="7" s="1"/>
  <c r="A9" i="7"/>
  <c r="F9" i="7" s="1"/>
  <c r="I8" i="7"/>
  <c r="G8" i="7"/>
  <c r="F8" i="7"/>
  <c r="E8" i="7"/>
  <c r="E23" i="7" s="1"/>
  <c r="E38" i="7" s="1"/>
  <c r="C8" i="7"/>
  <c r="A8" i="7"/>
  <c r="AK7" i="7"/>
  <c r="F7" i="7"/>
  <c r="AK6" i="7"/>
  <c r="F6" i="7"/>
  <c r="AK5" i="7"/>
  <c r="F5" i="7"/>
  <c r="C5" i="7"/>
  <c r="C6" i="7" s="1"/>
  <c r="C7" i="7" s="1"/>
  <c r="AG48" i="1"/>
  <c r="AG47" i="1"/>
  <c r="AG46" i="1"/>
  <c r="AG45" i="1"/>
  <c r="AG44" i="1"/>
  <c r="AG43" i="1"/>
  <c r="AG42" i="1"/>
  <c r="AG41" i="1"/>
  <c r="AG40" i="1"/>
  <c r="AJ39" i="1"/>
  <c r="AJ42" i="1" s="1"/>
  <c r="AJ45" i="1" s="1"/>
  <c r="AJ48" i="1" s="1"/>
  <c r="AG39" i="1"/>
  <c r="AJ38" i="1"/>
  <c r="AJ41" i="1" s="1"/>
  <c r="AJ44" i="1" s="1"/>
  <c r="AJ47" i="1" s="1"/>
  <c r="AG38" i="1"/>
  <c r="AJ37" i="1"/>
  <c r="AJ40" i="1" s="1"/>
  <c r="AJ43" i="1" s="1"/>
  <c r="AJ46" i="1" s="1"/>
  <c r="AG37" i="1"/>
  <c r="AG36" i="1"/>
  <c r="AG35" i="1"/>
  <c r="AG34" i="1"/>
  <c r="G33" i="1"/>
  <c r="G48" i="1" s="1"/>
  <c r="G32" i="1"/>
  <c r="G47" i="1" s="1"/>
  <c r="G31" i="1"/>
  <c r="G46" i="1" s="1"/>
  <c r="G30" i="1"/>
  <c r="G45" i="1" s="1"/>
  <c r="G29" i="1"/>
  <c r="G44" i="1" s="1"/>
  <c r="G28" i="1"/>
  <c r="G43" i="1" s="1"/>
  <c r="G27" i="1"/>
  <c r="G42" i="1" s="1"/>
  <c r="G26" i="1"/>
  <c r="G41" i="1" s="1"/>
  <c r="G25" i="1"/>
  <c r="G40" i="1" s="1"/>
  <c r="AJ24" i="1"/>
  <c r="AJ27" i="1" s="1"/>
  <c r="AJ30" i="1" s="1"/>
  <c r="AJ33" i="1" s="1"/>
  <c r="G24" i="1"/>
  <c r="G39" i="1" s="1"/>
  <c r="AJ23" i="1"/>
  <c r="AJ26" i="1" s="1"/>
  <c r="AJ29" i="1" s="1"/>
  <c r="AJ32" i="1" s="1"/>
  <c r="G23" i="1"/>
  <c r="G38" i="1" s="1"/>
  <c r="AJ22" i="1"/>
  <c r="AJ25" i="1" s="1"/>
  <c r="AJ28" i="1" s="1"/>
  <c r="AJ31" i="1" s="1"/>
  <c r="G22" i="1"/>
  <c r="G37" i="1" s="1"/>
  <c r="G21" i="1"/>
  <c r="G36" i="1" s="1"/>
  <c r="A21" i="1"/>
  <c r="A36" i="1" s="1"/>
  <c r="G20" i="1"/>
  <c r="G35" i="1" s="1"/>
  <c r="E20" i="1"/>
  <c r="E35" i="1" s="1"/>
  <c r="A20" i="1"/>
  <c r="A35" i="1" s="1"/>
  <c r="G19" i="1"/>
  <c r="G34" i="1" s="1"/>
  <c r="E19" i="1"/>
  <c r="E34" i="1" s="1"/>
  <c r="A19" i="1"/>
  <c r="A34" i="1" s="1"/>
  <c r="AJ9" i="1"/>
  <c r="AJ12" i="1" s="1"/>
  <c r="AJ15" i="1" s="1"/>
  <c r="AJ18" i="1" s="1"/>
  <c r="J9" i="1"/>
  <c r="J12" i="1" s="1"/>
  <c r="J15" i="1" s="1"/>
  <c r="J18" i="1" s="1"/>
  <c r="J21" i="1" s="1"/>
  <c r="J24" i="1" s="1"/>
  <c r="J27" i="1" s="1"/>
  <c r="J30" i="1" s="1"/>
  <c r="J33" i="1" s="1"/>
  <c r="J36" i="1" s="1"/>
  <c r="J39" i="1" s="1"/>
  <c r="J42" i="1" s="1"/>
  <c r="J45" i="1" s="1"/>
  <c r="J48" i="1" s="1"/>
  <c r="I9" i="1"/>
  <c r="I12" i="1" s="1"/>
  <c r="I15" i="1" s="1"/>
  <c r="I18" i="1" s="1"/>
  <c r="I21" i="1" s="1"/>
  <c r="I24" i="1" s="1"/>
  <c r="I27" i="1" s="1"/>
  <c r="I30" i="1" s="1"/>
  <c r="I33" i="1" s="1"/>
  <c r="I36" i="1" s="1"/>
  <c r="I39" i="1" s="1"/>
  <c r="I42" i="1" s="1"/>
  <c r="I45" i="1" s="1"/>
  <c r="I48" i="1" s="1"/>
  <c r="A9" i="1"/>
  <c r="E23" i="1" s="1"/>
  <c r="E38" i="1" s="1"/>
  <c r="AJ8" i="1"/>
  <c r="AJ11" i="1" s="1"/>
  <c r="AJ14" i="1" s="1"/>
  <c r="AJ17" i="1" s="1"/>
  <c r="J8" i="1"/>
  <c r="J11" i="1" s="1"/>
  <c r="J14" i="1" s="1"/>
  <c r="J17" i="1" s="1"/>
  <c r="J20" i="1" s="1"/>
  <c r="J23" i="1" s="1"/>
  <c r="J26" i="1" s="1"/>
  <c r="J29" i="1" s="1"/>
  <c r="J32" i="1" s="1"/>
  <c r="J35" i="1" s="1"/>
  <c r="J38" i="1" s="1"/>
  <c r="J41" i="1" s="1"/>
  <c r="J44" i="1" s="1"/>
  <c r="J47" i="1" s="1"/>
  <c r="I8" i="1"/>
  <c r="I11" i="1" s="1"/>
  <c r="I14" i="1" s="1"/>
  <c r="I17" i="1" s="1"/>
  <c r="I20" i="1" s="1"/>
  <c r="I23" i="1" s="1"/>
  <c r="I26" i="1" s="1"/>
  <c r="I29" i="1" s="1"/>
  <c r="I32" i="1" s="1"/>
  <c r="I35" i="1" s="1"/>
  <c r="I38" i="1" s="1"/>
  <c r="I41" i="1" s="1"/>
  <c r="I44" i="1" s="1"/>
  <c r="I47" i="1" s="1"/>
  <c r="E8" i="1"/>
  <c r="A8" i="1"/>
  <c r="A23" i="1" s="1"/>
  <c r="A38" i="1" s="1"/>
  <c r="AJ7" i="1"/>
  <c r="AJ10" i="1" s="1"/>
  <c r="AJ13" i="1" s="1"/>
  <c r="AJ16" i="1" s="1"/>
  <c r="J7" i="1"/>
  <c r="J10" i="1" s="1"/>
  <c r="J13" i="1" s="1"/>
  <c r="J16" i="1" s="1"/>
  <c r="J19" i="1" s="1"/>
  <c r="J22" i="1" s="1"/>
  <c r="J25" i="1" s="1"/>
  <c r="J28" i="1" s="1"/>
  <c r="J31" i="1" s="1"/>
  <c r="J34" i="1" s="1"/>
  <c r="J37" i="1" s="1"/>
  <c r="J40" i="1" s="1"/>
  <c r="J43" i="1" s="1"/>
  <c r="J46" i="1" s="1"/>
  <c r="I7" i="1"/>
  <c r="I10" i="1" s="1"/>
  <c r="I13" i="1" s="1"/>
  <c r="I16" i="1" s="1"/>
  <c r="I19" i="1" s="1"/>
  <c r="I22" i="1" s="1"/>
  <c r="I25" i="1" s="1"/>
  <c r="I28" i="1" s="1"/>
  <c r="I31" i="1" s="1"/>
  <c r="I34" i="1" s="1"/>
  <c r="I37" i="1" s="1"/>
  <c r="I40" i="1" s="1"/>
  <c r="I43" i="1" s="1"/>
  <c r="I46" i="1" s="1"/>
  <c r="I49" i="1" s="1"/>
  <c r="E7" i="1"/>
  <c r="A7" i="1"/>
  <c r="A22" i="1" s="1"/>
  <c r="A37" i="1" s="1"/>
  <c r="A11" i="1" l="1"/>
  <c r="A10" i="1"/>
  <c r="A13" i="1" s="1"/>
  <c r="A28" i="1" s="1"/>
  <c r="A43" i="1" s="1"/>
  <c r="E10" i="1"/>
  <c r="A12" i="1"/>
  <c r="A24" i="1"/>
  <c r="A39" i="1" s="1"/>
  <c r="A25" i="1"/>
  <c r="A40" i="1" s="1"/>
  <c r="A19" i="7"/>
  <c r="A30" i="7"/>
  <c r="F26" i="7"/>
  <c r="F27" i="7"/>
  <c r="E22" i="1"/>
  <c r="E37" i="1" s="1"/>
  <c r="E11" i="1"/>
  <c r="A17" i="7"/>
  <c r="C14" i="7"/>
  <c r="C15" i="7" s="1"/>
  <c r="C16" i="7" s="1"/>
  <c r="F13" i="7"/>
  <c r="A32" i="7"/>
  <c r="C29" i="7"/>
  <c r="C30" i="7" s="1"/>
  <c r="C31" i="7" s="1"/>
  <c r="F28" i="7"/>
  <c r="A34" i="7"/>
  <c r="F30" i="7"/>
  <c r="A44" i="7"/>
  <c r="C41" i="7"/>
  <c r="C42" i="7" s="1"/>
  <c r="C43" i="7" s="1"/>
  <c r="F40" i="7"/>
  <c r="A49" i="7"/>
  <c r="E11" i="7"/>
  <c r="A12" i="7"/>
  <c r="E13" i="7"/>
  <c r="E15" i="7"/>
  <c r="F25" i="7"/>
  <c r="C26" i="7"/>
  <c r="C27" i="7" s="1"/>
  <c r="C28" i="7" s="1"/>
  <c r="F38" i="7"/>
  <c r="A42" i="7"/>
  <c r="F42" i="7"/>
  <c r="F24" i="7"/>
  <c r="E13" i="1" l="1"/>
  <c r="E28" i="1" s="1"/>
  <c r="E43" i="1" s="1"/>
  <c r="A16" i="1"/>
  <c r="A31" i="1" s="1"/>
  <c r="A46" i="1" s="1"/>
  <c r="A26" i="1"/>
  <c r="A41" i="1" s="1"/>
  <c r="E25" i="1"/>
  <c r="E40" i="1" s="1"/>
  <c r="E14" i="1"/>
  <c r="E29" i="1" s="1"/>
  <c r="E44" i="1" s="1"/>
  <c r="A14" i="1"/>
  <c r="A29" i="1" s="1"/>
  <c r="A44" i="1" s="1"/>
  <c r="F19" i="7"/>
  <c r="A45" i="7"/>
  <c r="F41" i="7"/>
  <c r="A47" i="7"/>
  <c r="C44" i="7"/>
  <c r="C45" i="7" s="1"/>
  <c r="C46" i="7" s="1"/>
  <c r="F43" i="7"/>
  <c r="C17" i="7"/>
  <c r="C18" i="7" s="1"/>
  <c r="C19" i="7" s="1"/>
  <c r="F16" i="7"/>
  <c r="A27" i="1"/>
  <c r="A42" i="1" s="1"/>
  <c r="E26" i="1"/>
  <c r="E41" i="1" s="1"/>
  <c r="A15" i="1"/>
  <c r="E16" i="7"/>
  <c r="E28" i="7"/>
  <c r="E43" i="7" s="1"/>
  <c r="F49" i="7"/>
  <c r="C32" i="7"/>
  <c r="C33" i="7" s="1"/>
  <c r="C34" i="7" s="1"/>
  <c r="F31" i="7"/>
  <c r="A33" i="7"/>
  <c r="F32" i="7" s="1"/>
  <c r="F29" i="7"/>
  <c r="E26" i="7"/>
  <c r="E41" i="7" s="1"/>
  <c r="E14" i="7"/>
  <c r="E30" i="7"/>
  <c r="E45" i="7" s="1"/>
  <c r="E18" i="7"/>
  <c r="E33" i="7" s="1"/>
  <c r="E48" i="7" s="1"/>
  <c r="F12" i="7"/>
  <c r="A15" i="7"/>
  <c r="F11" i="7"/>
  <c r="F34" i="7"/>
  <c r="E16" i="1" l="1"/>
  <c r="E31" i="1" s="1"/>
  <c r="E46" i="1" s="1"/>
  <c r="A17" i="1"/>
  <c r="A32" i="1" s="1"/>
  <c r="A47" i="1" s="1"/>
  <c r="A30" i="1"/>
  <c r="A45" i="1" s="1"/>
  <c r="A18" i="1"/>
  <c r="A33" i="1" s="1"/>
  <c r="A48" i="1" s="1"/>
  <c r="E17" i="1"/>
  <c r="E32" i="1" s="1"/>
  <c r="E47" i="1" s="1"/>
  <c r="A48" i="7"/>
  <c r="F44" i="7"/>
  <c r="F45" i="7"/>
  <c r="E29" i="7"/>
  <c r="E44" i="7" s="1"/>
  <c r="E17" i="7"/>
  <c r="E32" i="7" s="1"/>
  <c r="E47" i="7" s="1"/>
  <c r="F14" i="7"/>
  <c r="A18" i="7"/>
  <c r="F15" i="7"/>
  <c r="F33" i="7"/>
  <c r="E31" i="7"/>
  <c r="E46" i="7" s="1"/>
  <c r="E19" i="7"/>
  <c r="E34" i="7" s="1"/>
  <c r="E49" i="7" s="1"/>
  <c r="C47" i="7"/>
  <c r="C48" i="7" s="1"/>
  <c r="C49" i="7" s="1"/>
  <c r="F46" i="7"/>
  <c r="F47" i="7" l="1"/>
  <c r="F48" i="7"/>
  <c r="F17" i="7"/>
  <c r="F18" i="7"/>
</calcChain>
</file>

<file path=xl/comments1.xml><?xml version="1.0" encoding="utf-8"?>
<comments xmlns="http://schemas.openxmlformats.org/spreadsheetml/2006/main">
  <authors>
    <author>human</author>
    <author>Administrator</author>
    <author>樊英杰</author>
    <author>gaohongda</author>
  </authors>
  <commentList>
    <comment ref="L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1--物理攻击
2--魔法攻击
3--道术攻击</t>
        </r>
      </text>
    </comment>
    <comment ref="N1" authorId="1">
      <text>
        <r>
          <rPr>
            <sz val="9"/>
            <rFont val="宋体"/>
            <family val="3"/>
            <charset val="134"/>
          </rPr>
          <t>Administrator:
1，主动</t>
        </r>
      </text>
    </comment>
    <comment ref="O1" authorId="2">
      <text>
        <r>
          <rPr>
            <sz val="9"/>
            <rFont val="宋体"/>
            <family val="3"/>
            <charset val="134"/>
          </rPr>
          <t xml:space="preserve">
0:无
1:单位
2:格子
3:方向</t>
        </r>
      </text>
    </comment>
    <comment ref="P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0,无（比如瞬移，没有形状，没有攻击形状，非攻击技能）
1 单点
2 直线
3 圆形
4,扇形
</t>
        </r>
      </text>
    </comment>
    <comment ref="Q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0--表示单发
1--几人命中几发</t>
        </r>
      </text>
    </comment>
    <comment ref="S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指的是格子
直线对应的是格子数
圆形对应的格子数是直径</t>
        </r>
      </text>
    </comment>
    <comment ref="T1" authorId="0">
      <text>
        <r>
          <rPr>
            <b/>
            <sz val="9"/>
            <rFont val="宋体"/>
            <family val="3"/>
            <charset val="134"/>
          </rPr>
          <t xml:space="preserve">作者:
类型有
none = 0,//未知 
role = 1,//角色 
monster = 2,//怪物 
pet = 3,//宠物 
</t>
        </r>
      </text>
    </comment>
    <comment ref="U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0: 无
1: 自己
2: 友好
3: 敌对
4: 中立</t>
        </r>
      </text>
    </comment>
    <comment ref="V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1---空
2--减益
3--增益
4--buff
5--陷阱</t>
        </r>
      </text>
    </comment>
    <comment ref="Z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与buff表里面的id对应</t>
        </r>
      </text>
    </comment>
    <comment ref="AB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与功能表里面的id相
对应</t>
        </r>
      </text>
    </comment>
    <comment ref="AD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与功能表里面的id相
对应</t>
        </r>
      </text>
    </comment>
    <comment ref="AE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0--不能麻痹
1--可以麻痹</t>
        </r>
      </text>
    </comment>
    <comment ref="AL1" authorId="3">
      <text>
        <r>
          <rPr>
            <b/>
            <sz val="9"/>
            <rFont val="宋体"/>
            <family val="3"/>
            <charset val="134"/>
          </rPr>
          <t>gaohongda:</t>
        </r>
        <r>
          <rPr>
            <sz val="9"/>
            <rFont val="宋体"/>
            <family val="3"/>
            <charset val="134"/>
          </rPr>
          <t xml:space="preserve">
0--不验证
1--验证</t>
        </r>
      </text>
    </comment>
    <comment ref="AN1" authorId="3">
      <text>
        <r>
          <rPr>
            <b/>
            <sz val="9"/>
            <rFont val="宋体"/>
            <family val="3"/>
            <charset val="134"/>
          </rPr>
          <t>gaohongda:</t>
        </r>
        <r>
          <rPr>
            <sz val="9"/>
            <rFont val="宋体"/>
            <family val="3"/>
            <charset val="134"/>
          </rPr>
          <t xml:space="preserve">
单位：毫秒</t>
        </r>
      </text>
    </comment>
  </commentList>
</comments>
</file>

<file path=xl/comments2.xml><?xml version="1.0" encoding="utf-8"?>
<comments xmlns="http://schemas.openxmlformats.org/spreadsheetml/2006/main">
  <authors>
    <author>human</author>
    <author>Administrator</author>
    <author>樊英杰</author>
  </authors>
  <commentList>
    <comment ref="D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0--通用
1--战士
2--法师
3--道士</t>
        </r>
      </text>
    </comment>
    <comment ref="K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1--物理攻击
2--魔法攻击
3--道术攻击</t>
        </r>
      </text>
    </comment>
    <comment ref="M1" authorId="1">
      <text>
        <r>
          <rPr>
            <sz val="9"/>
            <rFont val="宋体"/>
            <family val="3"/>
            <charset val="134"/>
          </rPr>
          <t>Administrator:
1，主动(玩家选择后施放)
2，自动(玩家选择开启后自动释放)
3，被动(玩家学习后施放)
4，延迟施放(玩家选择后在下次攻击时释放)</t>
        </r>
      </text>
    </comment>
    <comment ref="N1" authorId="2">
      <text>
        <r>
          <rPr>
            <sz val="9"/>
            <rFont val="宋体"/>
            <family val="3"/>
            <charset val="134"/>
          </rPr>
          <t xml:space="preserve">
0:无
1:单位
2:格子
3:方向</t>
        </r>
      </text>
    </comment>
    <comment ref="O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0,无（比如瞬移，没有形状，没有攻击形状，非攻击技能）
1 单点
2 直线
3 圆形
4,扇形
</t>
        </r>
      </text>
    </comment>
    <comment ref="P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0--表示单发
1--几人命中几发</t>
        </r>
      </text>
    </comment>
    <comment ref="S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指的是格子
直线对应的是格子数
圆形对应的格子数是半径</t>
        </r>
      </text>
    </comment>
    <comment ref="U1" authorId="0">
      <text>
        <r>
          <rPr>
            <b/>
            <sz val="9"/>
            <rFont val="宋体"/>
            <family val="3"/>
            <charset val="134"/>
          </rPr>
          <t xml:space="preserve">作者:
类型有
none = 0,//未知 
role = 1,//角色 
monster = 2,//怪物 
pet = 3,//宠物 
</t>
        </r>
      </text>
    </comment>
    <comment ref="V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0: 无
1: 自己
2: 友好
3: 敌对
4: 中立</t>
        </r>
      </text>
    </comment>
    <comment ref="W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1---空
2--减益
3--增益
4--buff
5--陷阱</t>
        </r>
      </text>
    </comment>
    <comment ref="AA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与buff表里面的id对应</t>
        </r>
      </text>
    </comment>
    <comment ref="AB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与buff表里面的id对应</t>
        </r>
      </text>
    </comment>
    <comment ref="AD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与功能表里面的id相
对应</t>
        </r>
      </text>
    </comment>
    <comment ref="AF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与功能表里面的id相
对应</t>
        </r>
      </text>
    </comment>
    <comment ref="AG1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0--不能麻痹
1--可以麻痹</t>
        </r>
      </text>
    </comment>
    <comment ref="D2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0--通用
1--战士
2--法师
3--道士</t>
        </r>
      </text>
    </comment>
    <comment ref="J2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1--物理攻击
2--魔法攻击
3--道术攻击</t>
        </r>
      </text>
    </comment>
    <comment ref="L2" authorId="1">
      <text>
        <r>
          <rPr>
            <sz val="9"/>
            <rFont val="宋体"/>
            <family val="3"/>
            <charset val="134"/>
          </rPr>
          <t>Administrator:
1，主动(玩家选择后施放)
2，自动(玩家选择开启后自动释放)
3，被动(玩家学习后施放)
4，延迟施放(玩家选择后在下次攻击时释放)</t>
        </r>
      </text>
    </comment>
    <comment ref="M2" authorId="2">
      <text>
        <r>
          <rPr>
            <sz val="9"/>
            <rFont val="宋体"/>
            <family val="3"/>
            <charset val="134"/>
          </rPr>
          <t xml:space="preserve">
0:无
1:单位
2:格子
3:方向</t>
        </r>
      </text>
    </comment>
    <comment ref="N2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0,无（比如瞬移，没有形状，没有攻击形状，非攻击技能）
1 单点
2 直线
3 圆形
4,扇形
</t>
        </r>
      </text>
    </comment>
    <comment ref="O2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0--表示单发
1--几人命中几发</t>
        </r>
      </text>
    </comment>
    <comment ref="R2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指的是格子
直线对应的是格子数
圆形对应的格子数是半径</t>
        </r>
      </text>
    </comment>
    <comment ref="T2" authorId="0">
      <text>
        <r>
          <rPr>
            <b/>
            <sz val="9"/>
            <rFont val="宋体"/>
            <family val="3"/>
            <charset val="134"/>
          </rPr>
          <t xml:space="preserve">作者:
类型有
none = 0,//未知 
role = 1,//角色 
monster = 2,//怪物 
pet = 3,//宠物 
</t>
        </r>
      </text>
    </comment>
    <comment ref="U2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0: 无
1: 自己
2: 友好
3: 敌对
4: 中立</t>
        </r>
      </text>
    </comment>
    <comment ref="V2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1---空
2--减益
3--增益
4--buff
5--陷阱</t>
        </r>
      </text>
    </comment>
    <comment ref="Z2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与buff表里面的id对应</t>
        </r>
      </text>
    </comment>
    <comment ref="AA2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与buff表里面的id对应</t>
        </r>
      </text>
    </comment>
    <comment ref="AC2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与功能表里面的id相
对应</t>
        </r>
      </text>
    </comment>
    <comment ref="AE2" authorId="0">
      <text>
        <r>
          <rPr>
            <b/>
            <sz val="9"/>
            <rFont val="宋体"/>
            <family val="3"/>
            <charset val="134"/>
          </rPr>
          <t>human:</t>
        </r>
        <r>
          <rPr>
            <sz val="9"/>
            <rFont val="宋体"/>
            <family val="3"/>
            <charset val="134"/>
          </rPr>
          <t xml:space="preserve">
与功能表里面的id相
对应</t>
        </r>
      </text>
    </comment>
  </commentList>
</comments>
</file>

<file path=xl/sharedStrings.xml><?xml version="1.0" encoding="utf-8"?>
<sst xmlns="http://schemas.openxmlformats.org/spreadsheetml/2006/main" count="490" uniqueCount="146">
  <si>
    <t>技能ID</t>
  </si>
  <si>
    <t>技能名</t>
  </si>
  <si>
    <t>图标</t>
  </si>
  <si>
    <t>职业</t>
  </si>
  <si>
    <t>技能等级</t>
  </si>
  <si>
    <t>升级技能</t>
  </si>
  <si>
    <t>升级需要金币数</t>
  </si>
  <si>
    <t>升级需要强化石数量</t>
  </si>
  <si>
    <t>提升战力</t>
  </si>
  <si>
    <t>转生等级</t>
  </si>
  <si>
    <t>需要等级</t>
  </si>
  <si>
    <t>技能类别</t>
  </si>
  <si>
    <t>技能属性类型</t>
  </si>
  <si>
    <t>冷却时间</t>
  </si>
  <si>
    <t>施放方式</t>
  </si>
  <si>
    <t>攻击目标选择方式</t>
  </si>
  <si>
    <t>形状</t>
  </si>
  <si>
    <t>特效播放方式</t>
  </si>
  <si>
    <t>最小施法距离</t>
  </si>
  <si>
    <t>最大施法距离</t>
  </si>
  <si>
    <t>影响范围</t>
  </si>
  <si>
    <t>最大影响人数</t>
  </si>
  <si>
    <t>目标类型</t>
  </si>
  <si>
    <t>目标关系</t>
  </si>
  <si>
    <t>伤害效果</t>
  </si>
  <si>
    <t>技能攻击系数</t>
  </si>
  <si>
    <t>技能附加威力</t>
  </si>
  <si>
    <t>防御抵消伤害系数</t>
  </si>
  <si>
    <t>触发buffID1</t>
  </si>
  <si>
    <t>触发buffID2</t>
  </si>
  <si>
    <t>触发功能几率1</t>
  </si>
  <si>
    <t>功能ID1</t>
  </si>
  <si>
    <t>触发功能几率2</t>
  </si>
  <si>
    <t>功能ID2</t>
  </si>
  <si>
    <t>是否可麻痹</t>
  </si>
  <si>
    <t>技能资源男</t>
  </si>
  <si>
    <t>技能资源女</t>
  </si>
  <si>
    <t>技能飞行资源</t>
  </si>
  <si>
    <t>技能受击资源</t>
  </si>
  <si>
    <t>面板排序</t>
  </si>
  <si>
    <t>伤害延迟播放时间</t>
  </si>
  <si>
    <t>服务器是否验证飞行</t>
  </si>
  <si>
    <t>飞行速度</t>
  </si>
  <si>
    <t>播放施法动作时间</t>
  </si>
  <si>
    <t>技能描述</t>
  </si>
  <si>
    <t>ID</t>
  </si>
  <si>
    <t>name</t>
  </si>
  <si>
    <t>icon</t>
  </si>
  <si>
    <t>skilllev</t>
  </si>
  <si>
    <t>upgradeSkill</t>
  </si>
  <si>
    <t>needMongy</t>
  </si>
  <si>
    <t>needStone</t>
  </si>
  <si>
    <t>FightValue</t>
  </si>
  <si>
    <t>RELev</t>
  </si>
  <si>
    <t>needLev</t>
  </si>
  <si>
    <t>skill_category</t>
  </si>
  <si>
    <t>skill_type</t>
  </si>
  <si>
    <t>cdtime</t>
  </si>
  <si>
    <t>release_type</t>
  </si>
  <si>
    <t>target_select</t>
  </si>
  <si>
    <t>shape</t>
  </si>
  <si>
    <t>effectPlayMode</t>
  </si>
  <si>
    <t>range</t>
  </si>
  <si>
    <t>target_type</t>
  </si>
  <si>
    <t>target_relation</t>
  </si>
  <si>
    <t>dmg_effect</t>
  </si>
  <si>
    <t>ATKRate</t>
  </si>
  <si>
    <t>ATKVal</t>
  </si>
  <si>
    <t>DamageRate</t>
  </si>
  <si>
    <t>BuffID1</t>
  </si>
  <si>
    <t>Funcrate1</t>
  </si>
  <si>
    <t>funcid1</t>
  </si>
  <si>
    <t>Funcrate2</t>
  </si>
  <si>
    <t>funcid2</t>
  </si>
  <si>
    <t>canMabi</t>
  </si>
  <si>
    <t>skillResIdMan</t>
  </si>
  <si>
    <t>skillResIdLady</t>
  </si>
  <si>
    <t>skillResIdFly</t>
  </si>
  <si>
    <t>skillResIdRock</t>
  </si>
  <si>
    <t>sort</t>
  </si>
  <si>
    <t>damageDelayTime</t>
  </si>
  <si>
    <t>isFly</t>
  </si>
  <si>
    <t>flySpeed</t>
  </si>
  <si>
    <r>
      <rPr>
        <sz val="11"/>
        <color theme="1"/>
        <rFont val="宋体"/>
        <family val="3"/>
        <charset val="134"/>
      </rPr>
      <t>s</t>
    </r>
    <r>
      <rPr>
        <sz val="11"/>
        <color theme="1"/>
        <rFont val="宋体"/>
        <family val="3"/>
        <charset val="134"/>
      </rPr>
      <t>killTime</t>
    </r>
  </si>
  <si>
    <t>describe</t>
  </si>
  <si>
    <t>int</t>
  </si>
  <si>
    <t>string</t>
  </si>
  <si>
    <t>int[]</t>
  </si>
  <si>
    <t>bool</t>
  </si>
  <si>
    <r>
      <rPr>
        <sz val="11"/>
        <color theme="1"/>
        <rFont val="宋体"/>
        <family val="3"/>
        <charset val="134"/>
      </rPr>
      <t>i</t>
    </r>
    <r>
      <rPr>
        <sz val="11"/>
        <color theme="1"/>
        <rFont val="宋体"/>
        <family val="3"/>
        <charset val="134"/>
      </rPr>
      <t>nt</t>
    </r>
  </si>
  <si>
    <t>基础剑法</t>
  </si>
  <si>
    <t>1,2,3</t>
  </si>
  <si>
    <t>&lt;font color="#30ff00"&gt;100%+80&lt;/font&gt;物理伤害</t>
  </si>
  <si>
    <t>&lt;font color="#30ff00"&gt;102%+160&lt;/font&gt;物理伤害</t>
  </si>
  <si>
    <t>&lt;font color="#30ff00"&gt;104%+240&lt;/font&gt;物理伤害</t>
  </si>
  <si>
    <t>刺杀剑法</t>
  </si>
  <si>
    <t>半月剑法</t>
  </si>
  <si>
    <t>野蛮冲撞</t>
  </si>
  <si>
    <t>烈火剑法</t>
  </si>
  <si>
    <t>火球术</t>
  </si>
  <si>
    <t>&lt;font color="#30ff00"&gt;110%+100&lt;/font&gt;魔法伤害</t>
  </si>
  <si>
    <t>&lt;font color="#30ff00"&gt;114%+260&lt;/font&gt;魔法伤害</t>
  </si>
  <si>
    <t>&lt;font color="#30ff00"&gt;118%+420&lt;/font&gt;魔法伤害</t>
  </si>
  <si>
    <t>雷电术</t>
  </si>
  <si>
    <t>抗拒火环</t>
  </si>
  <si>
    <t>魔法盾</t>
  </si>
  <si>
    <t>1</t>
  </si>
  <si>
    <t>3</t>
  </si>
  <si>
    <t>冰咆哮</t>
  </si>
  <si>
    <t>2</t>
  </si>
  <si>
    <t>灵魂火符</t>
  </si>
  <si>
    <t>&lt;font color="#30ff00"&gt;85%+80&lt;/font&gt;道术伤害</t>
  </si>
  <si>
    <t>&lt;font color="#30ff00"&gt;87%+160&lt;/font&gt;道术伤害</t>
  </si>
  <si>
    <t>&lt;font color="#30ff00"&gt;89%+240&lt;/font&gt;道术伤害</t>
  </si>
  <si>
    <t>治愈术</t>
  </si>
  <si>
    <t>施毒术</t>
  </si>
  <si>
    <t>圣甲术</t>
  </si>
  <si>
    <t>召唤神兽</t>
  </si>
  <si>
    <t>怪物普攻</t>
  </si>
  <si>
    <t>1,3</t>
  </si>
  <si>
    <t>无</t>
  </si>
  <si>
    <t>技能</t>
  </si>
  <si>
    <t>战士</t>
  </si>
  <si>
    <t>特效也是刺杀</t>
  </si>
  <si>
    <t>做的是假刺杀</t>
  </si>
  <si>
    <t>半月</t>
  </si>
  <si>
    <t>怪物聚一堆才放</t>
  </si>
  <si>
    <t>野蛮</t>
  </si>
  <si>
    <t>使用之后将目标推走3格</t>
  </si>
  <si>
    <t>烈火</t>
  </si>
  <si>
    <t>没有憋烈火一说了</t>
  </si>
  <si>
    <t>法师</t>
  </si>
  <si>
    <t>火球</t>
  </si>
  <si>
    <t>雷电</t>
  </si>
  <si>
    <t>道士</t>
  </si>
  <si>
    <t>火符</t>
  </si>
  <si>
    <r>
      <rPr>
        <sz val="11"/>
        <color theme="1"/>
        <rFont val="宋体"/>
        <family val="3"/>
        <charset val="134"/>
      </rPr>
      <t>有c</t>
    </r>
    <r>
      <rPr>
        <sz val="11"/>
        <color theme="1"/>
        <rFont val="宋体"/>
        <family val="3"/>
        <charset val="134"/>
      </rPr>
      <t>d</t>
    </r>
  </si>
  <si>
    <t>单体</t>
  </si>
  <si>
    <t>增加双防</t>
  </si>
  <si>
    <t>技能资源</t>
  </si>
  <si>
    <t>1,2,3,4,6,10</t>
  </si>
  <si>
    <t>distance</t>
    <phoneticPr fontId="10" type="noConversion"/>
  </si>
  <si>
    <t>施法距离</t>
    <phoneticPr fontId="10" type="noConversion"/>
  </si>
  <si>
    <t>触发buffID组</t>
    <phoneticPr fontId="10" type="noConversion"/>
  </si>
  <si>
    <t>int[]</t>
    <phoneticPr fontId="10" type="noConversion"/>
  </si>
  <si>
    <t>1,2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</si>
</sst>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1">
    <font>
      <sz val="11"/>
      <color theme="1"/>
      <name val="宋体"/>
      <charset val="134"/>
      <scheme val="minor"/>
    </font>
    <font>
      <sz val="10"/>
      <color indexed="9"/>
      <name val="宋体"/>
      <family val="3"/>
      <charset val="134"/>
    </font>
    <font>
      <sz val="12"/>
      <name val="宋体"/>
      <family val="3"/>
      <charset val="134"/>
    </font>
    <font>
      <sz val="10"/>
      <color indexed="9"/>
      <name val="Tahoma"/>
      <family val="2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7" fillId="0" borderId="0" applyProtection="0">
      <alignment vertical="center"/>
    </xf>
    <xf numFmtId="0" fontId="2" fillId="0" borderId="0" applyProtection="0">
      <alignment vertical="center"/>
    </xf>
  </cellStyleXfs>
  <cellXfs count="4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76" fontId="0" fillId="0" borderId="0" xfId="0" applyNumberFormat="1"/>
    <xf numFmtId="49" fontId="0" fillId="0" borderId="0" xfId="0" applyNumberFormat="1"/>
    <xf numFmtId="0" fontId="0" fillId="0" borderId="1" xfId="0" applyBorder="1"/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7" borderId="0" xfId="1" applyFill="1">
      <alignment vertical="center"/>
    </xf>
    <xf numFmtId="0" fontId="2" fillId="2" borderId="0" xfId="1" applyFill="1">
      <alignment vertical="center"/>
    </xf>
    <xf numFmtId="0" fontId="2" fillId="2" borderId="0" xfId="1" applyFont="1" applyFill="1">
      <alignment vertical="center"/>
    </xf>
    <xf numFmtId="0" fontId="2" fillId="3" borderId="0" xfId="1" applyFont="1" applyFill="1">
      <alignment vertical="center"/>
    </xf>
    <xf numFmtId="0" fontId="2" fillId="4" borderId="0" xfId="1" applyFont="1" applyFill="1">
      <alignment vertical="center"/>
    </xf>
    <xf numFmtId="0" fontId="1" fillId="8" borderId="2" xfId="0" applyFont="1" applyFill="1" applyBorder="1" applyAlignment="1">
      <alignment horizontal="center" vertical="center" wrapText="1"/>
    </xf>
    <xf numFmtId="176" fontId="1" fillId="8" borderId="2" xfId="0" applyNumberFormat="1" applyFont="1" applyFill="1" applyBorder="1" applyAlignment="1">
      <alignment horizontal="center" vertical="center" wrapText="1"/>
    </xf>
    <xf numFmtId="49" fontId="1" fillId="8" borderId="2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176" fontId="2" fillId="7" borderId="0" xfId="1" applyNumberFormat="1" applyFill="1">
      <alignment vertical="center"/>
    </xf>
    <xf numFmtId="49" fontId="2" fillId="7" borderId="0" xfId="1" applyNumberFormat="1" applyFill="1">
      <alignment vertical="center"/>
    </xf>
    <xf numFmtId="176" fontId="0" fillId="3" borderId="0" xfId="0" applyNumberFormat="1" applyFill="1"/>
    <xf numFmtId="49" fontId="0" fillId="3" borderId="0" xfId="0" applyNumberFormat="1" applyFill="1"/>
    <xf numFmtId="176" fontId="0" fillId="4" borderId="0" xfId="0" applyNumberFormat="1" applyFill="1"/>
    <xf numFmtId="49" fontId="0" fillId="4" borderId="0" xfId="0" applyNumberFormat="1" applyFill="1"/>
    <xf numFmtId="0" fontId="1" fillId="9" borderId="0" xfId="0" applyFont="1" applyFill="1" applyBorder="1" applyAlignment="1">
      <alignment horizontal="center" vertical="center" wrapText="1"/>
    </xf>
    <xf numFmtId="0" fontId="1" fillId="5" borderId="3" xfId="3" applyNumberFormat="1" applyFont="1" applyFill="1" applyBorder="1" applyAlignment="1">
      <alignment horizontal="center" vertical="center" wrapText="1"/>
    </xf>
    <xf numFmtId="0" fontId="1" fillId="5" borderId="4" xfId="3" applyNumberFormat="1" applyFont="1" applyFill="1" applyBorder="1" applyAlignment="1">
      <alignment horizontal="center" vertical="center" wrapText="1"/>
    </xf>
    <xf numFmtId="0" fontId="1" fillId="5" borderId="0" xfId="3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5" borderId="0" xfId="2" applyNumberFormat="1" applyFont="1" applyFill="1" applyBorder="1" applyAlignment="1">
      <alignment horizontal="center" vertical="center" wrapText="1"/>
    </xf>
    <xf numFmtId="0" fontId="4" fillId="2" borderId="4" xfId="3" applyNumberFormat="1" applyFont="1" applyFill="1" applyBorder="1" applyAlignment="1">
      <alignment horizontal="center" vertical="center" wrapText="1"/>
    </xf>
    <xf numFmtId="0" fontId="4" fillId="2" borderId="0" xfId="3" applyNumberFormat="1" applyFont="1" applyFill="1" applyBorder="1" applyAlignment="1">
      <alignment horizontal="center" vertical="center" wrapText="1"/>
    </xf>
    <xf numFmtId="0" fontId="4" fillId="2" borderId="1" xfId="3" applyNumberFormat="1" applyFont="1" applyFill="1" applyBorder="1" applyAlignment="1">
      <alignment horizontal="center" vertical="center" wrapText="1"/>
    </xf>
    <xf numFmtId="0" fontId="0" fillId="2" borderId="0" xfId="0" applyFont="1" applyFill="1"/>
    <xf numFmtId="0" fontId="0" fillId="2" borderId="1" xfId="0" applyFont="1" applyFill="1" applyBorder="1"/>
    <xf numFmtId="0" fontId="0" fillId="2" borderId="1" xfId="0" applyFill="1" applyBorder="1"/>
    <xf numFmtId="0" fontId="2" fillId="10" borderId="0" xfId="1" applyFill="1">
      <alignment vertical="center"/>
    </xf>
    <xf numFmtId="0" fontId="5" fillId="2" borderId="1" xfId="0" applyFont="1" applyFill="1" applyBorder="1"/>
    <xf numFmtId="0" fontId="0" fillId="0" borderId="0" xfId="0" applyFont="1"/>
    <xf numFmtId="0" fontId="6" fillId="3" borderId="0" xfId="0" applyFont="1" applyFill="1"/>
    <xf numFmtId="0" fontId="0" fillId="0" borderId="0" xfId="0" applyFill="1"/>
    <xf numFmtId="0" fontId="1" fillId="5" borderId="2" xfId="0" applyNumberFormat="1" applyFont="1" applyFill="1" applyBorder="1" applyAlignment="1">
      <alignment horizontal="center" vertical="center" wrapText="1"/>
    </xf>
    <xf numFmtId="0" fontId="2" fillId="0" borderId="0" xfId="1" applyFont="1" applyFill="1">
      <alignment vertical="center"/>
    </xf>
    <xf numFmtId="0" fontId="2" fillId="0" borderId="0" xfId="1" applyFill="1">
      <alignment vertical="center"/>
    </xf>
    <xf numFmtId="176" fontId="6" fillId="3" borderId="0" xfId="0" applyNumberFormat="1" applyFont="1" applyFill="1"/>
    <xf numFmtId="49" fontId="6" fillId="3" borderId="0" xfId="0" applyNumberFormat="1" applyFont="1" applyFill="1" applyAlignment="1">
      <alignment horizontal="right"/>
    </xf>
    <xf numFmtId="0" fontId="0" fillId="4" borderId="0" xfId="0" applyFont="1" applyFill="1"/>
    <xf numFmtId="49" fontId="0" fillId="4" borderId="0" xfId="0" applyNumberFormat="1" applyFill="1" applyAlignment="1">
      <alignment horizontal="right"/>
    </xf>
    <xf numFmtId="49" fontId="0" fillId="4" borderId="0" xfId="0" applyNumberFormat="1" applyFont="1" applyFill="1" applyAlignment="1">
      <alignment horizontal="right"/>
    </xf>
  </cellXfs>
  <cellStyles count="4">
    <cellStyle name="常规" xfId="0" builtinId="0"/>
    <cellStyle name="常规_Sheet1" xfId="2"/>
    <cellStyle name="常规_技能" xfId="1"/>
    <cellStyle name="常规_物品" xfId="3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49"/>
  <sheetViews>
    <sheetView tabSelected="1" workbookViewId="0">
      <pane xSplit="2" ySplit="3" topLeftCell="C4" activePane="bottomRight" state="frozenSplit"/>
      <selection pane="topRight"/>
      <selection pane="bottomLeft"/>
      <selection pane="bottomRight" activeCell="C4" sqref="C4"/>
    </sheetView>
  </sheetViews>
  <sheetFormatPr defaultColWidth="9" defaultRowHeight="13.5"/>
  <cols>
    <col min="1" max="1" width="15.125" customWidth="1"/>
    <col min="2" max="2" width="26.25" customWidth="1"/>
    <col min="3" max="3" width="7.5" customWidth="1"/>
    <col min="4" max="4" width="8.375" customWidth="1"/>
    <col min="5" max="5" width="16.375" customWidth="1"/>
    <col min="6" max="7" width="8.5" customWidth="1"/>
    <col min="8" max="8" width="15.5" customWidth="1"/>
    <col min="9" max="9" width="8.5" customWidth="1"/>
    <col min="10" max="10" width="8" customWidth="1"/>
    <col min="11" max="11" width="8.5" customWidth="1"/>
    <col min="12" max="12" width="9.625" customWidth="1"/>
    <col min="13" max="13" width="8" customWidth="1"/>
    <col min="14" max="15" width="8.5" customWidth="1"/>
    <col min="16" max="16" width="5.875" customWidth="1"/>
    <col min="17" max="17" width="14.125" customWidth="1"/>
    <col min="18" max="18" width="11.375" customWidth="1"/>
    <col min="19" max="19" width="8" style="4" customWidth="1"/>
    <col min="20" max="20" width="10.5" style="5" customWidth="1"/>
    <col min="21" max="21" width="11.25" style="5" customWidth="1"/>
    <col min="22" max="22" width="9.375" customWidth="1"/>
    <col min="23" max="23" width="14.75" customWidth="1"/>
    <col min="24" max="24" width="13.5" customWidth="1"/>
    <col min="25" max="25" width="14.5" customWidth="1"/>
    <col min="26" max="26" width="11" customWidth="1"/>
    <col min="27" max="27" width="11.375" customWidth="1"/>
    <col min="28" max="28" width="7.625" customWidth="1"/>
    <col min="29" max="29" width="12.375" customWidth="1"/>
    <col min="30" max="30" width="7.625" customWidth="1"/>
    <col min="31" max="31" width="9.625" customWidth="1"/>
    <col min="32" max="32" width="15" customWidth="1"/>
    <col min="33" max="33" width="16.125" customWidth="1"/>
    <col min="34" max="35" width="15" customWidth="1"/>
    <col min="36" max="36" width="8" customWidth="1"/>
    <col min="37" max="40" width="9.625" customWidth="1"/>
    <col min="41" max="41" width="49.875" style="6" customWidth="1"/>
  </cols>
  <sheetData>
    <row r="1" spans="1:41" ht="36">
      <c r="A1" s="7" t="s">
        <v>0</v>
      </c>
      <c r="B1" s="7" t="s">
        <v>1</v>
      </c>
      <c r="C1" s="7" t="s">
        <v>2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8" t="s">
        <v>13</v>
      </c>
      <c r="N1" s="14" t="s">
        <v>14</v>
      </c>
      <c r="O1" s="14" t="s">
        <v>15</v>
      </c>
      <c r="P1" s="14" t="s">
        <v>16</v>
      </c>
      <c r="Q1" s="14" t="s">
        <v>17</v>
      </c>
      <c r="R1" s="14" t="s">
        <v>142</v>
      </c>
      <c r="S1" s="15" t="s">
        <v>20</v>
      </c>
      <c r="T1" s="16" t="s">
        <v>22</v>
      </c>
      <c r="U1" s="16" t="s">
        <v>23</v>
      </c>
      <c r="V1" s="17" t="s">
        <v>24</v>
      </c>
      <c r="W1" s="17" t="s">
        <v>25</v>
      </c>
      <c r="X1" s="17" t="s">
        <v>26</v>
      </c>
      <c r="Y1" s="17" t="s">
        <v>27</v>
      </c>
      <c r="Z1" s="24" t="s">
        <v>143</v>
      </c>
      <c r="AA1" s="25" t="s">
        <v>30</v>
      </c>
      <c r="AB1" s="25" t="s">
        <v>31</v>
      </c>
      <c r="AC1" s="25" t="s">
        <v>32</v>
      </c>
      <c r="AD1" s="25" t="s">
        <v>33</v>
      </c>
      <c r="AE1" s="26" t="s">
        <v>34</v>
      </c>
      <c r="AF1" s="30" t="s">
        <v>35</v>
      </c>
      <c r="AG1" s="30" t="s">
        <v>36</v>
      </c>
      <c r="AH1" s="30" t="s">
        <v>37</v>
      </c>
      <c r="AI1" s="30" t="s">
        <v>38</v>
      </c>
      <c r="AJ1" s="30" t="s">
        <v>39</v>
      </c>
      <c r="AK1" s="31" t="s">
        <v>40</v>
      </c>
      <c r="AL1" s="31" t="s">
        <v>41</v>
      </c>
      <c r="AM1" s="31" t="s">
        <v>42</v>
      </c>
      <c r="AN1" s="31" t="s">
        <v>43</v>
      </c>
      <c r="AO1" s="32" t="s">
        <v>44</v>
      </c>
    </row>
    <row r="2" spans="1:41" ht="24">
      <c r="A2" s="7" t="s">
        <v>45</v>
      </c>
      <c r="B2" s="7" t="s">
        <v>46</v>
      </c>
      <c r="C2" s="41" t="s">
        <v>47</v>
      </c>
      <c r="D2" s="7" t="s">
        <v>48</v>
      </c>
      <c r="E2" s="7" t="s">
        <v>49</v>
      </c>
      <c r="F2" s="7" t="s">
        <v>50</v>
      </c>
      <c r="G2" s="7" t="s">
        <v>51</v>
      </c>
      <c r="H2" s="7" t="s">
        <v>52</v>
      </c>
      <c r="I2" s="7" t="s">
        <v>53</v>
      </c>
      <c r="J2" s="7" t="s">
        <v>54</v>
      </c>
      <c r="K2" s="7" t="s">
        <v>55</v>
      </c>
      <c r="L2" s="7" t="s">
        <v>56</v>
      </c>
      <c r="M2" s="8" t="s">
        <v>57</v>
      </c>
      <c r="N2" s="14" t="s">
        <v>58</v>
      </c>
      <c r="O2" s="14" t="s">
        <v>59</v>
      </c>
      <c r="P2" s="14" t="s">
        <v>60</v>
      </c>
      <c r="Q2" s="14" t="s">
        <v>61</v>
      </c>
      <c r="R2" s="14" t="s">
        <v>141</v>
      </c>
      <c r="S2" s="15" t="s">
        <v>62</v>
      </c>
      <c r="T2" s="16" t="s">
        <v>63</v>
      </c>
      <c r="U2" s="16" t="s">
        <v>64</v>
      </c>
      <c r="V2" s="17" t="s">
        <v>65</v>
      </c>
      <c r="W2" s="17" t="s">
        <v>66</v>
      </c>
      <c r="X2" s="17" t="s">
        <v>67</v>
      </c>
      <c r="Y2" s="17" t="s">
        <v>68</v>
      </c>
      <c r="Z2" s="24" t="s">
        <v>69</v>
      </c>
      <c r="AA2" s="25" t="s">
        <v>70</v>
      </c>
      <c r="AB2" s="25" t="s">
        <v>71</v>
      </c>
      <c r="AC2" s="25" t="s">
        <v>72</v>
      </c>
      <c r="AD2" s="25" t="s">
        <v>73</v>
      </c>
      <c r="AE2" s="27" t="s">
        <v>74</v>
      </c>
      <c r="AF2" s="1" t="s">
        <v>75</v>
      </c>
      <c r="AG2" s="33" t="s">
        <v>76</v>
      </c>
      <c r="AH2" s="33" t="s">
        <v>77</v>
      </c>
      <c r="AI2" s="33" t="s">
        <v>78</v>
      </c>
      <c r="AJ2" s="1" t="s">
        <v>79</v>
      </c>
      <c r="AK2" s="33" t="s">
        <v>80</v>
      </c>
      <c r="AL2" s="33" t="s">
        <v>81</v>
      </c>
      <c r="AM2" s="33" t="s">
        <v>82</v>
      </c>
      <c r="AN2" s="33" t="s">
        <v>83</v>
      </c>
      <c r="AO2" s="33" t="s">
        <v>84</v>
      </c>
    </row>
    <row r="3" spans="1:41" ht="14.25">
      <c r="A3" s="9" t="s">
        <v>85</v>
      </c>
      <c r="B3" s="9" t="s">
        <v>86</v>
      </c>
      <c r="C3" s="9" t="s">
        <v>86</v>
      </c>
      <c r="D3" s="9" t="s">
        <v>85</v>
      </c>
      <c r="E3" s="9" t="s">
        <v>85</v>
      </c>
      <c r="F3" s="9" t="s">
        <v>85</v>
      </c>
      <c r="G3" s="9" t="s">
        <v>85</v>
      </c>
      <c r="H3" s="9" t="s">
        <v>85</v>
      </c>
      <c r="I3" s="9" t="s">
        <v>85</v>
      </c>
      <c r="J3" s="9" t="s">
        <v>85</v>
      </c>
      <c r="K3" s="9" t="s">
        <v>85</v>
      </c>
      <c r="L3" s="9" t="s">
        <v>85</v>
      </c>
      <c r="M3" s="9" t="s">
        <v>85</v>
      </c>
      <c r="N3" s="9" t="s">
        <v>85</v>
      </c>
      <c r="O3" s="9" t="s">
        <v>85</v>
      </c>
      <c r="P3" s="9" t="s">
        <v>85</v>
      </c>
      <c r="Q3" s="9" t="s">
        <v>85</v>
      </c>
      <c r="R3" s="9" t="s">
        <v>85</v>
      </c>
      <c r="S3" s="18" t="s">
        <v>85</v>
      </c>
      <c r="T3" s="19" t="s">
        <v>87</v>
      </c>
      <c r="U3" s="19" t="s">
        <v>87</v>
      </c>
      <c r="V3" s="9" t="s">
        <v>85</v>
      </c>
      <c r="W3" s="9" t="s">
        <v>85</v>
      </c>
      <c r="X3" s="9" t="s">
        <v>85</v>
      </c>
      <c r="Y3" s="9" t="s">
        <v>85</v>
      </c>
      <c r="Z3" s="28" t="s">
        <v>144</v>
      </c>
      <c r="AA3" s="25" t="s">
        <v>85</v>
      </c>
      <c r="AB3" s="28" t="s">
        <v>85</v>
      </c>
      <c r="AC3" s="28" t="s">
        <v>85</v>
      </c>
      <c r="AD3" s="28" t="s">
        <v>85</v>
      </c>
      <c r="AE3" s="29" t="s">
        <v>88</v>
      </c>
      <c r="AF3" s="1" t="s">
        <v>85</v>
      </c>
      <c r="AG3" s="1" t="s">
        <v>85</v>
      </c>
      <c r="AH3" s="1" t="s">
        <v>85</v>
      </c>
      <c r="AI3" s="1" t="s">
        <v>85</v>
      </c>
      <c r="AJ3" s="1" t="s">
        <v>85</v>
      </c>
      <c r="AK3" s="1" t="s">
        <v>85</v>
      </c>
      <c r="AL3" s="33" t="s">
        <v>88</v>
      </c>
      <c r="AM3" s="33" t="s">
        <v>85</v>
      </c>
      <c r="AN3" s="33" t="s">
        <v>89</v>
      </c>
      <c r="AO3" s="35" t="s">
        <v>86</v>
      </c>
    </row>
    <row r="4" spans="1:41" s="1" customFormat="1" ht="14.25">
      <c r="A4" s="10">
        <v>111101001</v>
      </c>
      <c r="B4" s="11" t="s">
        <v>90</v>
      </c>
      <c r="C4" s="11">
        <v>110001</v>
      </c>
      <c r="D4" s="10">
        <v>1</v>
      </c>
      <c r="E4" s="10">
        <v>111101002</v>
      </c>
      <c r="F4" s="10">
        <v>1000</v>
      </c>
      <c r="G4" s="10">
        <v>0</v>
      </c>
      <c r="H4" s="10">
        <v>10000</v>
      </c>
      <c r="I4" s="10">
        <v>0</v>
      </c>
      <c r="J4" s="10">
        <v>1</v>
      </c>
      <c r="K4" s="10">
        <v>101</v>
      </c>
      <c r="L4" s="10">
        <v>1</v>
      </c>
      <c r="M4" s="10">
        <v>12000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0" t="s">
        <v>91</v>
      </c>
      <c r="U4" s="10">
        <v>3</v>
      </c>
      <c r="V4" s="10">
        <v>2</v>
      </c>
      <c r="W4" s="10">
        <v>10000</v>
      </c>
      <c r="X4" s="10">
        <v>80</v>
      </c>
      <c r="Y4" s="10">
        <v>10000</v>
      </c>
      <c r="Z4" s="10" t="s">
        <v>145</v>
      </c>
      <c r="AA4" s="10">
        <v>0</v>
      </c>
      <c r="AB4" s="10">
        <v>0</v>
      </c>
      <c r="AC4" s="10">
        <v>0</v>
      </c>
      <c r="AD4" s="10">
        <v>0</v>
      </c>
      <c r="AE4" s="10">
        <v>1</v>
      </c>
      <c r="AF4" s="10">
        <v>10000</v>
      </c>
      <c r="AG4" s="10">
        <v>10000</v>
      </c>
      <c r="AH4" s="10">
        <v>0</v>
      </c>
      <c r="AI4" s="10">
        <v>0</v>
      </c>
      <c r="AJ4" s="10">
        <v>1</v>
      </c>
      <c r="AK4" s="10">
        <v>115</v>
      </c>
      <c r="AL4" s="10">
        <v>0</v>
      </c>
      <c r="AM4" s="10">
        <v>0</v>
      </c>
      <c r="AN4" s="10"/>
      <c r="AO4" s="10" t="s">
        <v>92</v>
      </c>
    </row>
    <row r="5" spans="1:41" s="1" customFormat="1" ht="14.25">
      <c r="A5" s="10">
        <v>111101002</v>
      </c>
      <c r="B5" s="11" t="s">
        <v>90</v>
      </c>
      <c r="C5" s="11">
        <v>110001</v>
      </c>
      <c r="D5" s="10">
        <v>2</v>
      </c>
      <c r="E5" s="10">
        <v>111101003</v>
      </c>
      <c r="F5" s="10">
        <v>2000</v>
      </c>
      <c r="G5" s="10">
        <v>2</v>
      </c>
      <c r="H5" s="10">
        <v>20000</v>
      </c>
      <c r="I5" s="10">
        <v>0</v>
      </c>
      <c r="J5" s="10">
        <v>10</v>
      </c>
      <c r="K5" s="10">
        <v>101</v>
      </c>
      <c r="L5" s="10">
        <v>1</v>
      </c>
      <c r="M5" s="10">
        <v>12000</v>
      </c>
      <c r="N5" s="10">
        <v>1</v>
      </c>
      <c r="O5" s="10">
        <v>1</v>
      </c>
      <c r="P5" s="10">
        <v>1</v>
      </c>
      <c r="Q5" s="10">
        <v>1</v>
      </c>
      <c r="R5" s="10">
        <v>1</v>
      </c>
      <c r="S5" s="10">
        <v>1</v>
      </c>
      <c r="T5" s="10" t="s">
        <v>91</v>
      </c>
      <c r="U5" s="10">
        <v>3</v>
      </c>
      <c r="V5" s="10">
        <v>2</v>
      </c>
      <c r="W5" s="10">
        <v>10200</v>
      </c>
      <c r="X5" s="10">
        <v>160</v>
      </c>
      <c r="Y5" s="10">
        <v>10000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10000</v>
      </c>
      <c r="AG5" s="10">
        <v>10000</v>
      </c>
      <c r="AH5" s="10">
        <v>0</v>
      </c>
      <c r="AI5" s="10">
        <v>0</v>
      </c>
      <c r="AJ5" s="10">
        <v>1</v>
      </c>
      <c r="AK5" s="10">
        <v>115</v>
      </c>
      <c r="AL5" s="10">
        <v>0</v>
      </c>
      <c r="AM5" s="10">
        <v>0</v>
      </c>
      <c r="AN5" s="10"/>
      <c r="AO5" s="10" t="s">
        <v>93</v>
      </c>
    </row>
    <row r="6" spans="1:41" s="1" customFormat="1" ht="14.25">
      <c r="A6" s="10">
        <v>111101003</v>
      </c>
      <c r="B6" s="11" t="s">
        <v>90</v>
      </c>
      <c r="C6" s="11">
        <v>110001</v>
      </c>
      <c r="D6" s="10">
        <v>3</v>
      </c>
      <c r="E6" s="10">
        <v>0</v>
      </c>
      <c r="F6" s="10">
        <v>3000</v>
      </c>
      <c r="G6" s="10">
        <v>4</v>
      </c>
      <c r="H6" s="10">
        <v>30000</v>
      </c>
      <c r="I6" s="10">
        <v>1</v>
      </c>
      <c r="J6" s="10">
        <v>20</v>
      </c>
      <c r="K6" s="10">
        <v>101</v>
      </c>
      <c r="L6" s="10">
        <v>1</v>
      </c>
      <c r="M6" s="10">
        <v>12000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 t="s">
        <v>91</v>
      </c>
      <c r="U6" s="10">
        <v>3</v>
      </c>
      <c r="V6" s="10">
        <v>2</v>
      </c>
      <c r="W6" s="10">
        <v>10400</v>
      </c>
      <c r="X6" s="10">
        <v>240</v>
      </c>
      <c r="Y6" s="10">
        <v>10000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10000</v>
      </c>
      <c r="AG6" s="10">
        <v>10000</v>
      </c>
      <c r="AH6" s="10">
        <v>0</v>
      </c>
      <c r="AI6" s="10">
        <v>0</v>
      </c>
      <c r="AJ6" s="10">
        <v>1</v>
      </c>
      <c r="AK6" s="10">
        <v>115</v>
      </c>
      <c r="AL6" s="10">
        <v>0</v>
      </c>
      <c r="AM6" s="10">
        <v>0</v>
      </c>
      <c r="AN6" s="10"/>
      <c r="AO6" s="10" t="s">
        <v>94</v>
      </c>
    </row>
    <row r="7" spans="1:41" s="1" customFormat="1" ht="14.25">
      <c r="A7" s="1">
        <f>A4+1000</f>
        <v>111102001</v>
      </c>
      <c r="B7" s="11" t="s">
        <v>95</v>
      </c>
      <c r="C7" s="11">
        <v>120001</v>
      </c>
      <c r="D7" s="1">
        <v>1</v>
      </c>
      <c r="E7" s="10">
        <f>A4+1001</f>
        <v>111102002</v>
      </c>
      <c r="F7" s="10">
        <v>1000</v>
      </c>
      <c r="G7" s="10">
        <v>6</v>
      </c>
      <c r="H7" s="10">
        <v>10000</v>
      </c>
      <c r="I7" s="10">
        <f>I4</f>
        <v>0</v>
      </c>
      <c r="J7" s="10">
        <f>J4</f>
        <v>1</v>
      </c>
      <c r="K7" s="10">
        <v>102</v>
      </c>
      <c r="L7" s="1">
        <v>1</v>
      </c>
      <c r="M7" s="10">
        <v>12000</v>
      </c>
      <c r="N7" s="1">
        <v>1</v>
      </c>
      <c r="O7" s="1">
        <v>2</v>
      </c>
      <c r="P7" s="1">
        <v>2</v>
      </c>
      <c r="Q7" s="10">
        <v>1</v>
      </c>
      <c r="R7" s="10">
        <v>1</v>
      </c>
      <c r="S7" s="10">
        <v>1</v>
      </c>
      <c r="T7" s="10" t="s">
        <v>91</v>
      </c>
      <c r="U7" s="10">
        <v>3</v>
      </c>
      <c r="V7" s="10">
        <v>2</v>
      </c>
      <c r="W7" s="10">
        <v>10000</v>
      </c>
      <c r="X7" s="10">
        <v>80</v>
      </c>
      <c r="Y7" s="10">
        <v>10000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10100</v>
      </c>
      <c r="AG7" s="10">
        <v>10100</v>
      </c>
      <c r="AH7" s="10">
        <v>0</v>
      </c>
      <c r="AI7" s="10">
        <v>0</v>
      </c>
      <c r="AJ7" s="1">
        <f>AJ4+1</f>
        <v>2</v>
      </c>
      <c r="AK7" s="10">
        <v>115</v>
      </c>
      <c r="AL7" s="10">
        <v>0</v>
      </c>
      <c r="AM7" s="10">
        <v>0</v>
      </c>
      <c r="AN7" s="10"/>
      <c r="AO7" s="10" t="s">
        <v>92</v>
      </c>
    </row>
    <row r="8" spans="1:41" s="1" customFormat="1" ht="14.25">
      <c r="A8" s="1">
        <f t="shared" ref="A8:A18" si="0">A5+1000</f>
        <v>111102002</v>
      </c>
      <c r="B8" s="11" t="s">
        <v>95</v>
      </c>
      <c r="C8" s="11">
        <v>120001</v>
      </c>
      <c r="D8" s="1">
        <v>2</v>
      </c>
      <c r="E8" s="10">
        <f>A5+1001</f>
        <v>111102003</v>
      </c>
      <c r="F8" s="10">
        <v>2000</v>
      </c>
      <c r="G8" s="10">
        <v>8</v>
      </c>
      <c r="H8" s="10">
        <v>20000</v>
      </c>
      <c r="I8" s="10">
        <f t="shared" ref="I8:I49" si="1">I5</f>
        <v>0</v>
      </c>
      <c r="J8" s="10">
        <f t="shared" ref="J8:J48" si="2">J5</f>
        <v>10</v>
      </c>
      <c r="K8" s="10">
        <v>102</v>
      </c>
      <c r="L8" s="1">
        <v>1</v>
      </c>
      <c r="M8" s="10">
        <v>12000</v>
      </c>
      <c r="N8" s="1">
        <v>1</v>
      </c>
      <c r="O8" s="1">
        <v>2</v>
      </c>
      <c r="P8" s="1">
        <v>2</v>
      </c>
      <c r="Q8" s="10">
        <v>1</v>
      </c>
      <c r="R8" s="10">
        <v>1</v>
      </c>
      <c r="S8" s="10">
        <v>1</v>
      </c>
      <c r="T8" s="10" t="s">
        <v>91</v>
      </c>
      <c r="U8" s="10">
        <v>3</v>
      </c>
      <c r="V8" s="10">
        <v>2</v>
      </c>
      <c r="W8" s="10">
        <v>10200</v>
      </c>
      <c r="X8" s="10">
        <v>160</v>
      </c>
      <c r="Y8" s="10">
        <v>10000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10100</v>
      </c>
      <c r="AG8" s="10">
        <v>10100</v>
      </c>
      <c r="AH8" s="10">
        <v>0</v>
      </c>
      <c r="AI8" s="10">
        <v>0</v>
      </c>
      <c r="AJ8" s="1">
        <f t="shared" ref="AJ8:AJ18" si="3">AJ5+1</f>
        <v>2</v>
      </c>
      <c r="AK8" s="10">
        <v>115</v>
      </c>
      <c r="AL8" s="10">
        <v>0</v>
      </c>
      <c r="AM8" s="10">
        <v>0</v>
      </c>
      <c r="AN8" s="10"/>
      <c r="AO8" s="10" t="s">
        <v>93</v>
      </c>
    </row>
    <row r="9" spans="1:41" s="1" customFormat="1" ht="14.25">
      <c r="A9" s="1">
        <f t="shared" si="0"/>
        <v>111102003</v>
      </c>
      <c r="B9" s="11" t="s">
        <v>95</v>
      </c>
      <c r="C9" s="11">
        <v>120001</v>
      </c>
      <c r="D9" s="1">
        <v>3</v>
      </c>
      <c r="E9" s="10">
        <v>0</v>
      </c>
      <c r="F9" s="10">
        <v>3000</v>
      </c>
      <c r="G9" s="10">
        <v>10</v>
      </c>
      <c r="H9" s="10">
        <v>30000</v>
      </c>
      <c r="I9" s="10">
        <f t="shared" si="1"/>
        <v>1</v>
      </c>
      <c r="J9" s="10">
        <f t="shared" si="2"/>
        <v>20</v>
      </c>
      <c r="K9" s="10">
        <v>102</v>
      </c>
      <c r="L9" s="1">
        <v>1</v>
      </c>
      <c r="M9" s="10">
        <v>12000</v>
      </c>
      <c r="N9" s="1">
        <v>1</v>
      </c>
      <c r="O9" s="1">
        <v>2</v>
      </c>
      <c r="P9" s="1">
        <v>2</v>
      </c>
      <c r="Q9" s="10">
        <v>1</v>
      </c>
      <c r="R9" s="10">
        <v>1</v>
      </c>
      <c r="S9" s="10">
        <v>1</v>
      </c>
      <c r="T9" s="10" t="s">
        <v>91</v>
      </c>
      <c r="U9" s="10">
        <v>3</v>
      </c>
      <c r="V9" s="10">
        <v>2</v>
      </c>
      <c r="W9" s="10">
        <v>10400</v>
      </c>
      <c r="X9" s="10">
        <v>240</v>
      </c>
      <c r="Y9" s="10">
        <v>10000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10100</v>
      </c>
      <c r="AG9" s="10">
        <v>10100</v>
      </c>
      <c r="AH9" s="10">
        <v>0</v>
      </c>
      <c r="AI9" s="10">
        <v>0</v>
      </c>
      <c r="AJ9" s="1">
        <f t="shared" si="3"/>
        <v>2</v>
      </c>
      <c r="AK9" s="10">
        <v>115</v>
      </c>
      <c r="AL9" s="10">
        <v>0</v>
      </c>
      <c r="AM9" s="10">
        <v>0</v>
      </c>
      <c r="AN9" s="10"/>
      <c r="AO9" s="10" t="s">
        <v>94</v>
      </c>
    </row>
    <row r="10" spans="1:41" s="1" customFormat="1" ht="14.25">
      <c r="A10" s="1">
        <f t="shared" si="0"/>
        <v>111103001</v>
      </c>
      <c r="B10" s="11" t="s">
        <v>96</v>
      </c>
      <c r="C10" s="11">
        <v>130001</v>
      </c>
      <c r="D10" s="1">
        <v>1</v>
      </c>
      <c r="E10" s="10">
        <f>A8+1000</f>
        <v>111103002</v>
      </c>
      <c r="F10" s="10">
        <v>1000</v>
      </c>
      <c r="G10" s="10">
        <v>12</v>
      </c>
      <c r="H10" s="10">
        <v>10000</v>
      </c>
      <c r="I10" s="10">
        <f t="shared" si="1"/>
        <v>0</v>
      </c>
      <c r="J10" s="10">
        <f t="shared" si="2"/>
        <v>1</v>
      </c>
      <c r="K10" s="10">
        <v>103</v>
      </c>
      <c r="L10" s="1">
        <v>1</v>
      </c>
      <c r="M10" s="10">
        <v>12000</v>
      </c>
      <c r="N10" s="1">
        <v>1</v>
      </c>
      <c r="O10" s="1">
        <v>2</v>
      </c>
      <c r="P10" s="1">
        <v>4</v>
      </c>
      <c r="Q10" s="10">
        <v>1</v>
      </c>
      <c r="R10" s="10">
        <v>1</v>
      </c>
      <c r="S10" s="10">
        <v>1</v>
      </c>
      <c r="T10" s="10" t="s">
        <v>91</v>
      </c>
      <c r="U10" s="10">
        <v>3</v>
      </c>
      <c r="V10" s="10">
        <v>2</v>
      </c>
      <c r="W10" s="10">
        <v>10000</v>
      </c>
      <c r="X10" s="10">
        <v>80</v>
      </c>
      <c r="Y10" s="10">
        <v>10000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10200</v>
      </c>
      <c r="AG10" s="10">
        <v>10200</v>
      </c>
      <c r="AH10" s="10">
        <v>0</v>
      </c>
      <c r="AI10" s="10">
        <v>0</v>
      </c>
      <c r="AJ10" s="1">
        <f t="shared" si="3"/>
        <v>3</v>
      </c>
      <c r="AK10" s="10">
        <v>115</v>
      </c>
      <c r="AL10" s="10">
        <v>0</v>
      </c>
      <c r="AM10" s="10">
        <v>0</v>
      </c>
      <c r="AN10" s="10"/>
      <c r="AO10" s="10" t="s">
        <v>92</v>
      </c>
    </row>
    <row r="11" spans="1:41" s="1" customFormat="1" ht="14.25">
      <c r="A11" s="1">
        <f t="shared" si="0"/>
        <v>111103002</v>
      </c>
      <c r="B11" s="11" t="s">
        <v>96</v>
      </c>
      <c r="C11" s="11">
        <v>130001</v>
      </c>
      <c r="D11" s="1">
        <v>2</v>
      </c>
      <c r="E11" s="10">
        <f>A9+1000</f>
        <v>111103003</v>
      </c>
      <c r="F11" s="10">
        <v>2000</v>
      </c>
      <c r="G11" s="10">
        <v>14</v>
      </c>
      <c r="H11" s="10">
        <v>20000</v>
      </c>
      <c r="I11" s="10">
        <f t="shared" si="1"/>
        <v>0</v>
      </c>
      <c r="J11" s="10">
        <f t="shared" si="2"/>
        <v>10</v>
      </c>
      <c r="K11" s="10">
        <v>103</v>
      </c>
      <c r="L11" s="1">
        <v>1</v>
      </c>
      <c r="M11" s="10">
        <v>12000</v>
      </c>
      <c r="N11" s="1">
        <v>1</v>
      </c>
      <c r="O11" s="1">
        <v>2</v>
      </c>
      <c r="P11" s="1">
        <v>4</v>
      </c>
      <c r="Q11" s="10">
        <v>1</v>
      </c>
      <c r="R11" s="10">
        <v>1</v>
      </c>
      <c r="S11" s="10">
        <v>1</v>
      </c>
      <c r="T11" s="10" t="s">
        <v>91</v>
      </c>
      <c r="U11" s="10">
        <v>3</v>
      </c>
      <c r="V11" s="10">
        <v>2</v>
      </c>
      <c r="W11" s="10">
        <v>10200</v>
      </c>
      <c r="X11" s="10">
        <v>160</v>
      </c>
      <c r="Y11" s="10">
        <v>10000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10200</v>
      </c>
      <c r="AG11" s="10">
        <v>10200</v>
      </c>
      <c r="AH11" s="10">
        <v>0</v>
      </c>
      <c r="AI11" s="10">
        <v>0</v>
      </c>
      <c r="AJ11" s="1">
        <f t="shared" si="3"/>
        <v>3</v>
      </c>
      <c r="AK11" s="10">
        <v>115</v>
      </c>
      <c r="AL11" s="10">
        <v>0</v>
      </c>
      <c r="AM11" s="10">
        <v>0</v>
      </c>
      <c r="AN11" s="10"/>
      <c r="AO11" s="10" t="s">
        <v>93</v>
      </c>
    </row>
    <row r="12" spans="1:41" s="1" customFormat="1" ht="14.25">
      <c r="A12" s="1">
        <f t="shared" si="0"/>
        <v>111103003</v>
      </c>
      <c r="B12" s="11" t="s">
        <v>96</v>
      </c>
      <c r="C12" s="11">
        <v>130001</v>
      </c>
      <c r="D12" s="1">
        <v>3</v>
      </c>
      <c r="E12" s="10">
        <v>0</v>
      </c>
      <c r="F12" s="10">
        <v>3000</v>
      </c>
      <c r="G12" s="10">
        <v>16</v>
      </c>
      <c r="H12" s="10">
        <v>30000</v>
      </c>
      <c r="I12" s="10">
        <f t="shared" si="1"/>
        <v>1</v>
      </c>
      <c r="J12" s="10">
        <f t="shared" si="2"/>
        <v>20</v>
      </c>
      <c r="K12" s="10">
        <v>103</v>
      </c>
      <c r="L12" s="1">
        <v>1</v>
      </c>
      <c r="M12" s="10">
        <v>12000</v>
      </c>
      <c r="N12" s="1">
        <v>1</v>
      </c>
      <c r="O12" s="1">
        <v>2</v>
      </c>
      <c r="P12" s="1">
        <v>4</v>
      </c>
      <c r="Q12" s="10">
        <v>1</v>
      </c>
      <c r="R12" s="10">
        <v>1</v>
      </c>
      <c r="S12" s="10">
        <v>1</v>
      </c>
      <c r="T12" s="10" t="s">
        <v>91</v>
      </c>
      <c r="U12" s="10">
        <v>3</v>
      </c>
      <c r="V12" s="10">
        <v>2</v>
      </c>
      <c r="W12" s="10">
        <v>10400</v>
      </c>
      <c r="X12" s="10">
        <v>240</v>
      </c>
      <c r="Y12" s="10">
        <v>10000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10200</v>
      </c>
      <c r="AG12" s="10">
        <v>10200</v>
      </c>
      <c r="AH12" s="10">
        <v>0</v>
      </c>
      <c r="AI12" s="10">
        <v>0</v>
      </c>
      <c r="AJ12" s="1">
        <f t="shared" si="3"/>
        <v>3</v>
      </c>
      <c r="AK12" s="10">
        <v>115</v>
      </c>
      <c r="AL12" s="10">
        <v>0</v>
      </c>
      <c r="AM12" s="10">
        <v>0</v>
      </c>
      <c r="AN12" s="10"/>
      <c r="AO12" s="10" t="s">
        <v>94</v>
      </c>
    </row>
    <row r="13" spans="1:41" s="1" customFormat="1" ht="14.25">
      <c r="A13" s="1">
        <f t="shared" si="0"/>
        <v>111104001</v>
      </c>
      <c r="B13" s="11" t="s">
        <v>97</v>
      </c>
      <c r="C13" s="1">
        <v>140001</v>
      </c>
      <c r="D13" s="1">
        <v>1</v>
      </c>
      <c r="E13" s="1">
        <f>A10+1001</f>
        <v>111104002</v>
      </c>
      <c r="F13" s="10">
        <v>1000</v>
      </c>
      <c r="G13" s="10">
        <v>18</v>
      </c>
      <c r="H13" s="10">
        <v>10000</v>
      </c>
      <c r="I13" s="10">
        <f t="shared" si="1"/>
        <v>0</v>
      </c>
      <c r="J13" s="10">
        <f t="shared" si="2"/>
        <v>1</v>
      </c>
      <c r="K13" s="10">
        <v>104</v>
      </c>
      <c r="L13" s="1">
        <v>1</v>
      </c>
      <c r="M13" s="10">
        <v>12000</v>
      </c>
      <c r="N13" s="1">
        <v>1</v>
      </c>
      <c r="O13" s="1">
        <v>3</v>
      </c>
      <c r="P13" s="1">
        <v>2</v>
      </c>
      <c r="Q13" s="10">
        <v>1</v>
      </c>
      <c r="R13" s="10">
        <v>1</v>
      </c>
      <c r="S13" s="10">
        <v>0</v>
      </c>
      <c r="T13" s="10" t="s">
        <v>91</v>
      </c>
      <c r="U13" s="10">
        <v>3</v>
      </c>
      <c r="V13" s="10">
        <v>2</v>
      </c>
      <c r="W13" s="10">
        <v>10000</v>
      </c>
      <c r="X13" s="10">
        <v>80</v>
      </c>
      <c r="Y13" s="10">
        <v>10000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10400</v>
      </c>
      <c r="AG13" s="10">
        <v>10400</v>
      </c>
      <c r="AH13" s="10">
        <v>0</v>
      </c>
      <c r="AI13" s="10">
        <v>0</v>
      </c>
      <c r="AJ13" s="1">
        <f t="shared" si="3"/>
        <v>4</v>
      </c>
      <c r="AK13" s="10">
        <v>115</v>
      </c>
      <c r="AL13" s="10">
        <v>0</v>
      </c>
      <c r="AM13" s="10">
        <v>0</v>
      </c>
      <c r="AN13" s="10"/>
      <c r="AO13" s="10" t="s">
        <v>92</v>
      </c>
    </row>
    <row r="14" spans="1:41" s="1" customFormat="1" ht="14.25">
      <c r="A14" s="1">
        <f t="shared" si="0"/>
        <v>111104002</v>
      </c>
      <c r="B14" s="1" t="s">
        <v>97</v>
      </c>
      <c r="C14" s="1">
        <v>140001</v>
      </c>
      <c r="D14" s="1">
        <v>2</v>
      </c>
      <c r="E14" s="1">
        <f>A11+1001</f>
        <v>111104003</v>
      </c>
      <c r="F14" s="1">
        <v>2000</v>
      </c>
      <c r="G14" s="10">
        <v>20</v>
      </c>
      <c r="H14" s="10">
        <v>20000</v>
      </c>
      <c r="I14" s="10">
        <f t="shared" si="1"/>
        <v>0</v>
      </c>
      <c r="J14" s="10">
        <f t="shared" si="2"/>
        <v>10</v>
      </c>
      <c r="K14" s="1">
        <v>104</v>
      </c>
      <c r="L14" s="1">
        <v>1</v>
      </c>
      <c r="M14" s="10">
        <v>12000</v>
      </c>
      <c r="N14" s="1">
        <v>1</v>
      </c>
      <c r="O14" s="1">
        <v>3</v>
      </c>
      <c r="P14" s="1">
        <v>2</v>
      </c>
      <c r="Q14" s="10">
        <v>1</v>
      </c>
      <c r="R14" s="10">
        <v>1</v>
      </c>
      <c r="S14" s="10">
        <v>0</v>
      </c>
      <c r="T14" s="10" t="s">
        <v>91</v>
      </c>
      <c r="U14" s="10">
        <v>3</v>
      </c>
      <c r="V14" s="10">
        <v>2</v>
      </c>
      <c r="W14" s="10">
        <v>10200</v>
      </c>
      <c r="X14" s="10">
        <v>160</v>
      </c>
      <c r="Y14" s="10">
        <v>10000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10400</v>
      </c>
      <c r="AG14" s="10">
        <v>10400</v>
      </c>
      <c r="AH14" s="10">
        <v>0</v>
      </c>
      <c r="AI14" s="10">
        <v>0</v>
      </c>
      <c r="AJ14" s="1">
        <f t="shared" si="3"/>
        <v>4</v>
      </c>
      <c r="AK14" s="10">
        <v>115</v>
      </c>
      <c r="AL14" s="10">
        <v>0</v>
      </c>
      <c r="AM14" s="10">
        <v>0</v>
      </c>
      <c r="AN14" s="10"/>
      <c r="AO14" s="10" t="s">
        <v>93</v>
      </c>
    </row>
    <row r="15" spans="1:41" s="1" customFormat="1" ht="14.25">
      <c r="A15" s="1">
        <f t="shared" si="0"/>
        <v>111104003</v>
      </c>
      <c r="B15" s="1" t="s">
        <v>97</v>
      </c>
      <c r="C15" s="1">
        <v>140001</v>
      </c>
      <c r="D15" s="1">
        <v>3</v>
      </c>
      <c r="E15" s="1">
        <v>0</v>
      </c>
      <c r="F15" s="1">
        <v>3000</v>
      </c>
      <c r="G15" s="10">
        <v>22</v>
      </c>
      <c r="H15" s="10">
        <v>30000</v>
      </c>
      <c r="I15" s="10">
        <f t="shared" si="1"/>
        <v>1</v>
      </c>
      <c r="J15" s="10">
        <f t="shared" si="2"/>
        <v>20</v>
      </c>
      <c r="K15" s="1">
        <v>104</v>
      </c>
      <c r="L15" s="1">
        <v>1</v>
      </c>
      <c r="M15" s="10">
        <v>12000</v>
      </c>
      <c r="N15" s="1">
        <v>1</v>
      </c>
      <c r="O15" s="1">
        <v>3</v>
      </c>
      <c r="P15" s="1">
        <v>2</v>
      </c>
      <c r="Q15" s="10">
        <v>1</v>
      </c>
      <c r="R15" s="10">
        <v>1</v>
      </c>
      <c r="S15" s="10">
        <v>0</v>
      </c>
      <c r="T15" s="10" t="s">
        <v>91</v>
      </c>
      <c r="U15" s="10">
        <v>3</v>
      </c>
      <c r="V15" s="10">
        <v>2</v>
      </c>
      <c r="W15" s="10">
        <v>10400</v>
      </c>
      <c r="X15" s="10">
        <v>240</v>
      </c>
      <c r="Y15" s="10">
        <v>10000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1</v>
      </c>
      <c r="AF15" s="10">
        <v>10400</v>
      </c>
      <c r="AG15" s="10">
        <v>10400</v>
      </c>
      <c r="AH15" s="10">
        <v>0</v>
      </c>
      <c r="AI15" s="10">
        <v>0</v>
      </c>
      <c r="AJ15" s="1">
        <f t="shared" si="3"/>
        <v>4</v>
      </c>
      <c r="AK15" s="10">
        <v>115</v>
      </c>
      <c r="AL15" s="10">
        <v>0</v>
      </c>
      <c r="AM15" s="10">
        <v>0</v>
      </c>
      <c r="AN15" s="10"/>
      <c r="AO15" s="10" t="s">
        <v>94</v>
      </c>
    </row>
    <row r="16" spans="1:41" s="1" customFormat="1" ht="14.25">
      <c r="A16" s="1">
        <f t="shared" si="0"/>
        <v>111105001</v>
      </c>
      <c r="B16" s="1" t="s">
        <v>98</v>
      </c>
      <c r="C16" s="1">
        <v>150001</v>
      </c>
      <c r="D16" s="1">
        <v>1</v>
      </c>
      <c r="E16" s="1">
        <f>A14+1000</f>
        <v>111105002</v>
      </c>
      <c r="F16" s="1">
        <v>1000</v>
      </c>
      <c r="G16" s="10">
        <v>24</v>
      </c>
      <c r="H16" s="10">
        <v>10000</v>
      </c>
      <c r="I16" s="10">
        <f t="shared" si="1"/>
        <v>0</v>
      </c>
      <c r="J16" s="10">
        <f t="shared" si="2"/>
        <v>1</v>
      </c>
      <c r="K16" s="1">
        <v>105</v>
      </c>
      <c r="L16" s="1">
        <v>1</v>
      </c>
      <c r="M16" s="10">
        <v>12000</v>
      </c>
      <c r="N16" s="1">
        <v>1</v>
      </c>
      <c r="O16" s="1">
        <v>1</v>
      </c>
      <c r="P16" s="1">
        <v>1</v>
      </c>
      <c r="Q16" s="10">
        <v>1</v>
      </c>
      <c r="R16" s="10">
        <v>1</v>
      </c>
      <c r="S16" s="10">
        <v>1</v>
      </c>
      <c r="T16" s="10" t="s">
        <v>91</v>
      </c>
      <c r="U16" s="10">
        <v>3</v>
      </c>
      <c r="V16" s="10">
        <v>2</v>
      </c>
      <c r="W16" s="10">
        <v>10000</v>
      </c>
      <c r="X16" s="10">
        <v>80</v>
      </c>
      <c r="Y16" s="10">
        <v>10000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10300</v>
      </c>
      <c r="AG16" s="10">
        <v>10300</v>
      </c>
      <c r="AH16" s="10">
        <v>0</v>
      </c>
      <c r="AI16" s="10">
        <v>0</v>
      </c>
      <c r="AJ16" s="1">
        <f t="shared" si="3"/>
        <v>5</v>
      </c>
      <c r="AK16" s="10">
        <v>115</v>
      </c>
      <c r="AL16" s="10">
        <v>0</v>
      </c>
      <c r="AM16" s="10">
        <v>0</v>
      </c>
      <c r="AN16" s="10"/>
      <c r="AO16" s="10" t="s">
        <v>92</v>
      </c>
    </row>
    <row r="17" spans="1:41" s="1" customFormat="1" ht="14.25">
      <c r="A17" s="1">
        <f t="shared" si="0"/>
        <v>111105002</v>
      </c>
      <c r="B17" s="1" t="s">
        <v>98</v>
      </c>
      <c r="C17" s="1">
        <v>150001</v>
      </c>
      <c r="D17" s="1">
        <v>2</v>
      </c>
      <c r="E17" s="1">
        <f>A15+1000</f>
        <v>111105003</v>
      </c>
      <c r="F17" s="1">
        <v>2000</v>
      </c>
      <c r="G17" s="10">
        <v>26</v>
      </c>
      <c r="H17" s="10">
        <v>20000</v>
      </c>
      <c r="I17" s="10">
        <f t="shared" si="1"/>
        <v>0</v>
      </c>
      <c r="J17" s="10">
        <f t="shared" si="2"/>
        <v>10</v>
      </c>
      <c r="K17" s="1">
        <v>105</v>
      </c>
      <c r="L17" s="1">
        <v>1</v>
      </c>
      <c r="M17" s="10">
        <v>12000</v>
      </c>
      <c r="N17" s="1">
        <v>1</v>
      </c>
      <c r="O17" s="1">
        <v>1</v>
      </c>
      <c r="P17" s="1">
        <v>1</v>
      </c>
      <c r="Q17" s="10">
        <v>1</v>
      </c>
      <c r="R17" s="10">
        <v>1</v>
      </c>
      <c r="S17" s="10">
        <v>1</v>
      </c>
      <c r="T17" s="10" t="s">
        <v>91</v>
      </c>
      <c r="U17" s="10">
        <v>3</v>
      </c>
      <c r="V17" s="10">
        <v>2</v>
      </c>
      <c r="W17" s="10">
        <v>10200</v>
      </c>
      <c r="X17" s="10">
        <v>160</v>
      </c>
      <c r="Y17" s="10">
        <v>10000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10300</v>
      </c>
      <c r="AG17" s="10">
        <v>10300</v>
      </c>
      <c r="AH17" s="10">
        <v>0</v>
      </c>
      <c r="AI17" s="10">
        <v>0</v>
      </c>
      <c r="AJ17" s="1">
        <f t="shared" si="3"/>
        <v>5</v>
      </c>
      <c r="AK17" s="10">
        <v>115</v>
      </c>
      <c r="AL17" s="10">
        <v>0</v>
      </c>
      <c r="AM17" s="10">
        <v>0</v>
      </c>
      <c r="AN17" s="10"/>
      <c r="AO17" s="10" t="s">
        <v>93</v>
      </c>
    </row>
    <row r="18" spans="1:41" s="1" customFormat="1" ht="14.25">
      <c r="A18" s="1">
        <f t="shared" si="0"/>
        <v>111105003</v>
      </c>
      <c r="B18" s="1" t="s">
        <v>98</v>
      </c>
      <c r="C18" s="1">
        <v>150001</v>
      </c>
      <c r="D18" s="1">
        <v>3</v>
      </c>
      <c r="E18" s="1">
        <v>0</v>
      </c>
      <c r="F18" s="1">
        <v>3000</v>
      </c>
      <c r="G18" s="10">
        <v>28</v>
      </c>
      <c r="H18" s="10">
        <v>30000</v>
      </c>
      <c r="I18" s="10">
        <f t="shared" si="1"/>
        <v>1</v>
      </c>
      <c r="J18" s="10">
        <f t="shared" si="2"/>
        <v>20</v>
      </c>
      <c r="K18" s="1">
        <v>105</v>
      </c>
      <c r="L18" s="1">
        <v>1</v>
      </c>
      <c r="M18" s="10">
        <v>12000</v>
      </c>
      <c r="N18" s="1">
        <v>1</v>
      </c>
      <c r="O18" s="1">
        <v>1</v>
      </c>
      <c r="P18" s="1">
        <v>1</v>
      </c>
      <c r="Q18" s="10">
        <v>1</v>
      </c>
      <c r="R18" s="10">
        <v>1</v>
      </c>
      <c r="S18" s="10">
        <v>1</v>
      </c>
      <c r="T18" s="10" t="s">
        <v>91</v>
      </c>
      <c r="U18" s="10">
        <v>3</v>
      </c>
      <c r="V18" s="10">
        <v>2</v>
      </c>
      <c r="W18" s="10">
        <v>10400</v>
      </c>
      <c r="X18" s="10">
        <v>240</v>
      </c>
      <c r="Y18" s="10">
        <v>10000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10300</v>
      </c>
      <c r="AG18" s="10">
        <v>10300</v>
      </c>
      <c r="AH18" s="10">
        <v>0</v>
      </c>
      <c r="AI18" s="10">
        <v>0</v>
      </c>
      <c r="AJ18" s="1">
        <f t="shared" si="3"/>
        <v>5</v>
      </c>
      <c r="AK18" s="10">
        <v>115</v>
      </c>
      <c r="AL18" s="10">
        <v>0</v>
      </c>
      <c r="AM18" s="10">
        <v>0</v>
      </c>
      <c r="AN18" s="10"/>
      <c r="AO18" s="10" t="s">
        <v>94</v>
      </c>
    </row>
    <row r="19" spans="1:41" s="39" customFormat="1" ht="14.25">
      <c r="A19" s="39">
        <f>A4+100000</f>
        <v>111201001</v>
      </c>
      <c r="B19" s="39" t="s">
        <v>99</v>
      </c>
      <c r="C19" s="39">
        <v>210001</v>
      </c>
      <c r="D19" s="39">
        <v>1</v>
      </c>
      <c r="E19" s="39">
        <f>A5+100000</f>
        <v>111201002</v>
      </c>
      <c r="F19" s="39">
        <v>1000</v>
      </c>
      <c r="G19" s="39">
        <f>G4</f>
        <v>0</v>
      </c>
      <c r="H19" s="10">
        <v>10000</v>
      </c>
      <c r="I19" s="10">
        <f t="shared" si="1"/>
        <v>0</v>
      </c>
      <c r="J19" s="39">
        <f t="shared" si="2"/>
        <v>1</v>
      </c>
      <c r="K19" s="39">
        <v>201</v>
      </c>
      <c r="L19" s="39">
        <v>2</v>
      </c>
      <c r="M19" s="39">
        <v>12000</v>
      </c>
      <c r="N19" s="39">
        <v>1</v>
      </c>
      <c r="O19" s="39">
        <v>1</v>
      </c>
      <c r="P19" s="39">
        <v>1</v>
      </c>
      <c r="Q19" s="39">
        <v>1</v>
      </c>
      <c r="R19" s="39">
        <v>0</v>
      </c>
      <c r="S19" s="44">
        <v>1</v>
      </c>
      <c r="T19" s="39" t="s">
        <v>91</v>
      </c>
      <c r="U19" s="45">
        <v>3</v>
      </c>
      <c r="V19" s="45">
        <v>2</v>
      </c>
      <c r="W19" s="39">
        <v>11000</v>
      </c>
      <c r="X19" s="39">
        <v>100</v>
      </c>
      <c r="Y19" s="39">
        <v>10000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20000</v>
      </c>
      <c r="AG19" s="39">
        <v>20000</v>
      </c>
      <c r="AH19" s="39">
        <v>20001</v>
      </c>
      <c r="AI19" s="39">
        <v>20002</v>
      </c>
      <c r="AJ19" s="39">
        <v>1</v>
      </c>
      <c r="AK19" s="39">
        <v>480</v>
      </c>
      <c r="AL19" s="39">
        <v>1</v>
      </c>
      <c r="AM19" s="39">
        <v>1000</v>
      </c>
      <c r="AO19" s="39" t="s">
        <v>100</v>
      </c>
    </row>
    <row r="20" spans="1:41" s="39" customFormat="1" ht="14.25">
      <c r="A20" s="39">
        <f>A5+100000</f>
        <v>111201002</v>
      </c>
      <c r="B20" s="39" t="s">
        <v>99</v>
      </c>
      <c r="C20" s="39">
        <v>210001</v>
      </c>
      <c r="D20" s="39">
        <v>2</v>
      </c>
      <c r="E20" s="39">
        <f>A6+100000</f>
        <v>111201003</v>
      </c>
      <c r="F20" s="39">
        <v>2000</v>
      </c>
      <c r="G20" s="39">
        <f t="shared" ref="G20:G48" si="4">G5</f>
        <v>2</v>
      </c>
      <c r="H20" s="10">
        <v>20000</v>
      </c>
      <c r="I20" s="10">
        <f t="shared" si="1"/>
        <v>0</v>
      </c>
      <c r="J20" s="39">
        <f t="shared" si="2"/>
        <v>10</v>
      </c>
      <c r="K20" s="39">
        <v>201</v>
      </c>
      <c r="L20" s="39">
        <v>2</v>
      </c>
      <c r="M20" s="39">
        <v>12000</v>
      </c>
      <c r="N20" s="39">
        <v>1</v>
      </c>
      <c r="O20" s="39">
        <v>1</v>
      </c>
      <c r="P20" s="39">
        <v>1</v>
      </c>
      <c r="Q20" s="39">
        <v>1</v>
      </c>
      <c r="R20" s="39">
        <v>0</v>
      </c>
      <c r="S20" s="44">
        <v>1</v>
      </c>
      <c r="T20" s="39" t="s">
        <v>91</v>
      </c>
      <c r="U20" s="45">
        <v>3</v>
      </c>
      <c r="V20" s="45">
        <v>2</v>
      </c>
      <c r="W20" s="39">
        <v>11400</v>
      </c>
      <c r="X20" s="39">
        <v>260</v>
      </c>
      <c r="Y20" s="39">
        <v>10000</v>
      </c>
      <c r="Z20" s="39">
        <v>0</v>
      </c>
      <c r="AA20" s="39">
        <v>0</v>
      </c>
      <c r="AB20" s="39">
        <v>0</v>
      </c>
      <c r="AC20" s="39">
        <v>0</v>
      </c>
      <c r="AD20" s="39">
        <v>0</v>
      </c>
      <c r="AE20" s="39">
        <v>0</v>
      </c>
      <c r="AF20" s="39">
        <v>20000</v>
      </c>
      <c r="AG20" s="39">
        <v>20000</v>
      </c>
      <c r="AH20" s="39">
        <v>20001</v>
      </c>
      <c r="AI20" s="39">
        <v>20002</v>
      </c>
      <c r="AJ20" s="39">
        <v>1</v>
      </c>
      <c r="AK20" s="39">
        <v>480</v>
      </c>
      <c r="AL20" s="39">
        <v>1</v>
      </c>
      <c r="AM20" s="39">
        <v>1000</v>
      </c>
      <c r="AO20" s="39" t="s">
        <v>101</v>
      </c>
    </row>
    <row r="21" spans="1:41" s="39" customFormat="1" ht="14.25">
      <c r="A21" s="39">
        <f t="shared" ref="A21:A48" si="5">A6+100000</f>
        <v>111201003</v>
      </c>
      <c r="B21" s="39" t="s">
        <v>99</v>
      </c>
      <c r="C21" s="39">
        <v>210001</v>
      </c>
      <c r="D21" s="39">
        <v>3</v>
      </c>
      <c r="E21" s="39">
        <v>0</v>
      </c>
      <c r="F21" s="39">
        <v>3000</v>
      </c>
      <c r="G21" s="39">
        <f t="shared" si="4"/>
        <v>4</v>
      </c>
      <c r="H21" s="10">
        <v>30000</v>
      </c>
      <c r="I21" s="10">
        <f t="shared" si="1"/>
        <v>1</v>
      </c>
      <c r="J21" s="39">
        <f t="shared" si="2"/>
        <v>20</v>
      </c>
      <c r="K21" s="39">
        <v>201</v>
      </c>
      <c r="L21" s="39">
        <v>2</v>
      </c>
      <c r="M21" s="39">
        <v>12000</v>
      </c>
      <c r="N21" s="39">
        <v>1</v>
      </c>
      <c r="O21" s="39">
        <v>1</v>
      </c>
      <c r="P21" s="39">
        <v>1</v>
      </c>
      <c r="Q21" s="39">
        <v>1</v>
      </c>
      <c r="R21" s="39">
        <v>0</v>
      </c>
      <c r="S21" s="44">
        <v>1</v>
      </c>
      <c r="T21" s="39" t="s">
        <v>91</v>
      </c>
      <c r="U21" s="45">
        <v>3</v>
      </c>
      <c r="V21" s="45">
        <v>2</v>
      </c>
      <c r="W21" s="39">
        <v>11800</v>
      </c>
      <c r="X21" s="39">
        <v>420</v>
      </c>
      <c r="Y21" s="39">
        <v>10000</v>
      </c>
      <c r="Z21" s="39">
        <v>0</v>
      </c>
      <c r="AA21" s="39">
        <v>0</v>
      </c>
      <c r="AB21" s="39">
        <v>0</v>
      </c>
      <c r="AC21" s="39">
        <v>0</v>
      </c>
      <c r="AD21" s="39">
        <v>0</v>
      </c>
      <c r="AE21" s="39">
        <v>0</v>
      </c>
      <c r="AF21" s="39">
        <v>20000</v>
      </c>
      <c r="AG21" s="39">
        <v>20000</v>
      </c>
      <c r="AH21" s="39">
        <v>20001</v>
      </c>
      <c r="AI21" s="39">
        <v>20002</v>
      </c>
      <c r="AJ21" s="39">
        <v>1</v>
      </c>
      <c r="AK21" s="39">
        <v>480</v>
      </c>
      <c r="AL21" s="39">
        <v>1</v>
      </c>
      <c r="AM21" s="39">
        <v>1000</v>
      </c>
      <c r="AO21" s="39" t="s">
        <v>102</v>
      </c>
    </row>
    <row r="22" spans="1:41" s="39" customFormat="1" ht="14.25">
      <c r="A22" s="39">
        <f t="shared" si="5"/>
        <v>111202001</v>
      </c>
      <c r="B22" s="39" t="s">
        <v>103</v>
      </c>
      <c r="C22" s="39">
        <v>220001</v>
      </c>
      <c r="D22" s="39">
        <v>1</v>
      </c>
      <c r="E22" s="39">
        <f>A8+100000</f>
        <v>111202002</v>
      </c>
      <c r="F22" s="39">
        <v>1000</v>
      </c>
      <c r="G22" s="39">
        <f t="shared" si="4"/>
        <v>6</v>
      </c>
      <c r="H22" s="10">
        <v>10000</v>
      </c>
      <c r="I22" s="10">
        <f t="shared" si="1"/>
        <v>0</v>
      </c>
      <c r="J22" s="39">
        <f t="shared" si="2"/>
        <v>1</v>
      </c>
      <c r="K22" s="39">
        <v>202</v>
      </c>
      <c r="L22" s="39">
        <v>2</v>
      </c>
      <c r="M22" s="39">
        <v>12000</v>
      </c>
      <c r="N22" s="39">
        <v>1</v>
      </c>
      <c r="O22" s="39">
        <v>1</v>
      </c>
      <c r="P22" s="39">
        <v>1</v>
      </c>
      <c r="Q22" s="39">
        <v>1</v>
      </c>
      <c r="R22" s="39">
        <v>0</v>
      </c>
      <c r="S22" s="44">
        <v>1</v>
      </c>
      <c r="T22" s="39" t="s">
        <v>91</v>
      </c>
      <c r="U22" s="45">
        <v>3</v>
      </c>
      <c r="V22" s="45">
        <v>2</v>
      </c>
      <c r="W22" s="39">
        <v>11000</v>
      </c>
      <c r="X22" s="39">
        <v>100</v>
      </c>
      <c r="Y22" s="39">
        <v>10000</v>
      </c>
      <c r="Z22" s="39">
        <v>0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20100</v>
      </c>
      <c r="AG22" s="39">
        <v>20100</v>
      </c>
      <c r="AH22" s="39">
        <v>0</v>
      </c>
      <c r="AI22" s="39">
        <v>20102</v>
      </c>
      <c r="AJ22" s="39">
        <f>AJ19+1</f>
        <v>2</v>
      </c>
      <c r="AK22" s="39">
        <v>480</v>
      </c>
      <c r="AL22" s="39">
        <v>0</v>
      </c>
      <c r="AM22" s="39">
        <v>0</v>
      </c>
      <c r="AO22" s="39" t="s">
        <v>100</v>
      </c>
    </row>
    <row r="23" spans="1:41" s="39" customFormat="1" ht="14.25">
      <c r="A23" s="39">
        <f t="shared" si="5"/>
        <v>111202002</v>
      </c>
      <c r="B23" s="39" t="s">
        <v>103</v>
      </c>
      <c r="C23" s="39">
        <v>220001</v>
      </c>
      <c r="D23" s="39">
        <v>2</v>
      </c>
      <c r="E23" s="39">
        <f>A9+100000</f>
        <v>111202003</v>
      </c>
      <c r="F23" s="39">
        <v>2000</v>
      </c>
      <c r="G23" s="39">
        <f t="shared" si="4"/>
        <v>8</v>
      </c>
      <c r="H23" s="10">
        <v>20000</v>
      </c>
      <c r="I23" s="10">
        <f t="shared" si="1"/>
        <v>0</v>
      </c>
      <c r="J23" s="39">
        <f t="shared" si="2"/>
        <v>10</v>
      </c>
      <c r="K23" s="39">
        <v>202</v>
      </c>
      <c r="L23" s="39">
        <v>2</v>
      </c>
      <c r="M23" s="39">
        <v>12000</v>
      </c>
      <c r="N23" s="39">
        <v>1</v>
      </c>
      <c r="O23" s="39">
        <v>1</v>
      </c>
      <c r="P23" s="39">
        <v>1</v>
      </c>
      <c r="Q23" s="39">
        <v>1</v>
      </c>
      <c r="R23" s="39">
        <v>0</v>
      </c>
      <c r="S23" s="44">
        <v>1</v>
      </c>
      <c r="T23" s="39" t="s">
        <v>91</v>
      </c>
      <c r="U23" s="45">
        <v>3</v>
      </c>
      <c r="V23" s="45">
        <v>2</v>
      </c>
      <c r="W23" s="39">
        <v>11400</v>
      </c>
      <c r="X23" s="39">
        <v>260</v>
      </c>
      <c r="Y23" s="39">
        <v>10000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20100</v>
      </c>
      <c r="AG23" s="39">
        <v>20100</v>
      </c>
      <c r="AH23" s="39">
        <v>0</v>
      </c>
      <c r="AI23" s="39">
        <v>20102</v>
      </c>
      <c r="AJ23" s="39">
        <f t="shared" ref="AJ23:AJ33" si="6">AJ20+1</f>
        <v>2</v>
      </c>
      <c r="AK23" s="39">
        <v>480</v>
      </c>
      <c r="AL23" s="39">
        <v>0</v>
      </c>
      <c r="AM23" s="39">
        <v>0</v>
      </c>
      <c r="AO23" s="39" t="s">
        <v>101</v>
      </c>
    </row>
    <row r="24" spans="1:41" s="39" customFormat="1" ht="14.25">
      <c r="A24" s="39">
        <f t="shared" si="5"/>
        <v>111202003</v>
      </c>
      <c r="B24" s="39" t="s">
        <v>103</v>
      </c>
      <c r="C24" s="39">
        <v>220001</v>
      </c>
      <c r="D24" s="39">
        <v>3</v>
      </c>
      <c r="E24" s="39">
        <v>0</v>
      </c>
      <c r="F24" s="39">
        <v>3000</v>
      </c>
      <c r="G24" s="39">
        <f t="shared" si="4"/>
        <v>10</v>
      </c>
      <c r="H24" s="10">
        <v>30000</v>
      </c>
      <c r="I24" s="10">
        <f t="shared" si="1"/>
        <v>1</v>
      </c>
      <c r="J24" s="39">
        <f t="shared" si="2"/>
        <v>20</v>
      </c>
      <c r="K24" s="39">
        <v>202</v>
      </c>
      <c r="L24" s="39">
        <v>2</v>
      </c>
      <c r="M24" s="39">
        <v>12000</v>
      </c>
      <c r="N24" s="39">
        <v>1</v>
      </c>
      <c r="O24" s="39">
        <v>1</v>
      </c>
      <c r="P24" s="39">
        <v>1</v>
      </c>
      <c r="Q24" s="39">
        <v>1</v>
      </c>
      <c r="R24" s="39">
        <v>0</v>
      </c>
      <c r="S24" s="44">
        <v>1</v>
      </c>
      <c r="T24" s="39" t="s">
        <v>91</v>
      </c>
      <c r="U24" s="45">
        <v>3</v>
      </c>
      <c r="V24" s="45">
        <v>2</v>
      </c>
      <c r="W24" s="39">
        <v>11800</v>
      </c>
      <c r="X24" s="39">
        <v>420</v>
      </c>
      <c r="Y24" s="39">
        <v>10000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20100</v>
      </c>
      <c r="AG24" s="39">
        <v>20100</v>
      </c>
      <c r="AH24" s="39">
        <v>0</v>
      </c>
      <c r="AI24" s="39">
        <v>20102</v>
      </c>
      <c r="AJ24" s="39">
        <f t="shared" si="6"/>
        <v>2</v>
      </c>
      <c r="AK24" s="39">
        <v>480</v>
      </c>
      <c r="AL24" s="39">
        <v>0</v>
      </c>
      <c r="AM24" s="39">
        <v>0</v>
      </c>
      <c r="AO24" s="39" t="s">
        <v>102</v>
      </c>
    </row>
    <row r="25" spans="1:41" s="39" customFormat="1" ht="14.25">
      <c r="A25" s="39">
        <f t="shared" si="5"/>
        <v>111203001</v>
      </c>
      <c r="B25" s="39" t="s">
        <v>104</v>
      </c>
      <c r="C25" s="39">
        <v>230001</v>
      </c>
      <c r="D25" s="39">
        <v>1</v>
      </c>
      <c r="E25" s="39">
        <f>A11+100000</f>
        <v>111203002</v>
      </c>
      <c r="F25" s="39">
        <v>1000</v>
      </c>
      <c r="G25" s="39">
        <f t="shared" si="4"/>
        <v>12</v>
      </c>
      <c r="H25" s="10">
        <v>10000</v>
      </c>
      <c r="I25" s="10">
        <f t="shared" si="1"/>
        <v>0</v>
      </c>
      <c r="J25" s="39">
        <f t="shared" si="2"/>
        <v>1</v>
      </c>
      <c r="K25" s="39">
        <v>203</v>
      </c>
      <c r="L25" s="39">
        <v>2</v>
      </c>
      <c r="M25" s="39">
        <v>12000</v>
      </c>
      <c r="N25" s="39">
        <v>1</v>
      </c>
      <c r="O25" s="39">
        <v>2</v>
      </c>
      <c r="P25" s="39">
        <v>0</v>
      </c>
      <c r="Q25" s="39">
        <v>1</v>
      </c>
      <c r="R25" s="39">
        <v>0</v>
      </c>
      <c r="S25" s="44">
        <v>0</v>
      </c>
      <c r="T25" s="39" t="s">
        <v>91</v>
      </c>
      <c r="U25" s="45">
        <v>3</v>
      </c>
      <c r="V25" s="45">
        <v>2</v>
      </c>
      <c r="W25" s="39">
        <v>11000</v>
      </c>
      <c r="X25" s="39">
        <v>100</v>
      </c>
      <c r="Y25" s="39">
        <v>10000</v>
      </c>
      <c r="Z25" s="39">
        <v>0</v>
      </c>
      <c r="AA25" s="39">
        <v>0</v>
      </c>
      <c r="AB25" s="39">
        <v>0</v>
      </c>
      <c r="AC25" s="39">
        <v>0</v>
      </c>
      <c r="AD25" s="39">
        <v>0</v>
      </c>
      <c r="AE25" s="39">
        <v>0</v>
      </c>
      <c r="AF25" s="39">
        <v>20200</v>
      </c>
      <c r="AG25" s="39">
        <v>20200</v>
      </c>
      <c r="AH25" s="39">
        <v>0</v>
      </c>
      <c r="AI25" s="39">
        <v>0</v>
      </c>
      <c r="AJ25" s="39">
        <f t="shared" si="6"/>
        <v>3</v>
      </c>
      <c r="AK25" s="39">
        <v>480</v>
      </c>
      <c r="AL25" s="39">
        <v>0</v>
      </c>
      <c r="AM25" s="39">
        <v>0</v>
      </c>
      <c r="AO25" s="39" t="s">
        <v>100</v>
      </c>
    </row>
    <row r="26" spans="1:41" s="39" customFormat="1" ht="14.25">
      <c r="A26" s="39">
        <f t="shared" si="5"/>
        <v>111203002</v>
      </c>
      <c r="B26" s="39" t="s">
        <v>104</v>
      </c>
      <c r="C26" s="39">
        <v>230001</v>
      </c>
      <c r="D26" s="39">
        <v>2</v>
      </c>
      <c r="E26" s="39">
        <f>A12+100000</f>
        <v>111203003</v>
      </c>
      <c r="F26" s="39">
        <v>2000</v>
      </c>
      <c r="G26" s="39">
        <f t="shared" si="4"/>
        <v>14</v>
      </c>
      <c r="H26" s="10">
        <v>20000</v>
      </c>
      <c r="I26" s="10">
        <f t="shared" si="1"/>
        <v>0</v>
      </c>
      <c r="J26" s="39">
        <f t="shared" si="2"/>
        <v>10</v>
      </c>
      <c r="K26" s="39">
        <v>203</v>
      </c>
      <c r="L26" s="39">
        <v>2</v>
      </c>
      <c r="M26" s="39">
        <v>12000</v>
      </c>
      <c r="N26" s="39">
        <v>1</v>
      </c>
      <c r="O26" s="39">
        <v>2</v>
      </c>
      <c r="P26" s="39">
        <v>0</v>
      </c>
      <c r="Q26" s="39">
        <v>1</v>
      </c>
      <c r="R26" s="39">
        <v>0</v>
      </c>
      <c r="S26" s="44">
        <v>0</v>
      </c>
      <c r="T26" s="39" t="s">
        <v>91</v>
      </c>
      <c r="U26" s="45">
        <v>3</v>
      </c>
      <c r="V26" s="45">
        <v>2</v>
      </c>
      <c r="W26" s="39">
        <v>11400</v>
      </c>
      <c r="X26" s="39">
        <v>260</v>
      </c>
      <c r="Y26" s="39">
        <v>10000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20200</v>
      </c>
      <c r="AG26" s="39">
        <v>20200</v>
      </c>
      <c r="AH26" s="39">
        <v>0</v>
      </c>
      <c r="AI26" s="39">
        <v>0</v>
      </c>
      <c r="AJ26" s="39">
        <f t="shared" si="6"/>
        <v>3</v>
      </c>
      <c r="AK26" s="39">
        <v>480</v>
      </c>
      <c r="AL26" s="39">
        <v>0</v>
      </c>
      <c r="AM26" s="39">
        <v>0</v>
      </c>
      <c r="AO26" s="39" t="s">
        <v>101</v>
      </c>
    </row>
    <row r="27" spans="1:41" s="39" customFormat="1" ht="14.25">
      <c r="A27" s="39">
        <f t="shared" si="5"/>
        <v>111203003</v>
      </c>
      <c r="B27" s="39" t="s">
        <v>104</v>
      </c>
      <c r="C27" s="39">
        <v>230001</v>
      </c>
      <c r="D27" s="39">
        <v>3</v>
      </c>
      <c r="E27" s="39">
        <v>0</v>
      </c>
      <c r="F27" s="39">
        <v>3000</v>
      </c>
      <c r="G27" s="39">
        <f t="shared" si="4"/>
        <v>16</v>
      </c>
      <c r="H27" s="10">
        <v>30000</v>
      </c>
      <c r="I27" s="10">
        <f t="shared" si="1"/>
        <v>1</v>
      </c>
      <c r="J27" s="39">
        <f t="shared" si="2"/>
        <v>20</v>
      </c>
      <c r="K27" s="39">
        <v>203</v>
      </c>
      <c r="L27" s="39">
        <v>2</v>
      </c>
      <c r="M27" s="39">
        <v>12000</v>
      </c>
      <c r="N27" s="39">
        <v>1</v>
      </c>
      <c r="O27" s="39">
        <v>2</v>
      </c>
      <c r="P27" s="39">
        <v>0</v>
      </c>
      <c r="Q27" s="39">
        <v>1</v>
      </c>
      <c r="R27" s="39">
        <v>0</v>
      </c>
      <c r="S27" s="44">
        <v>0</v>
      </c>
      <c r="T27" s="39" t="s">
        <v>91</v>
      </c>
      <c r="U27" s="45">
        <v>3</v>
      </c>
      <c r="V27" s="45">
        <v>2</v>
      </c>
      <c r="W27" s="39">
        <v>11800</v>
      </c>
      <c r="X27" s="39">
        <v>420</v>
      </c>
      <c r="Y27" s="39">
        <v>10000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20200</v>
      </c>
      <c r="AG27" s="39">
        <v>20200</v>
      </c>
      <c r="AH27" s="39">
        <v>0</v>
      </c>
      <c r="AI27" s="39">
        <v>0</v>
      </c>
      <c r="AJ27" s="39">
        <f t="shared" si="6"/>
        <v>3</v>
      </c>
      <c r="AK27" s="39">
        <v>480</v>
      </c>
      <c r="AL27" s="39">
        <v>0</v>
      </c>
      <c r="AM27" s="39">
        <v>0</v>
      </c>
      <c r="AO27" s="39" t="s">
        <v>102</v>
      </c>
    </row>
    <row r="28" spans="1:41" s="39" customFormat="1" ht="14.25">
      <c r="A28" s="39">
        <f t="shared" si="5"/>
        <v>111204001</v>
      </c>
      <c r="B28" s="39" t="s">
        <v>105</v>
      </c>
      <c r="C28" s="39">
        <v>240001</v>
      </c>
      <c r="D28" s="39">
        <v>1</v>
      </c>
      <c r="E28" s="39">
        <f t="shared" ref="E28:E31" si="7">E13+100000</f>
        <v>111204002</v>
      </c>
      <c r="F28" s="39">
        <v>1000</v>
      </c>
      <c r="G28" s="39">
        <f t="shared" si="4"/>
        <v>18</v>
      </c>
      <c r="H28" s="10">
        <v>10000</v>
      </c>
      <c r="I28" s="10">
        <f t="shared" si="1"/>
        <v>0</v>
      </c>
      <c r="J28" s="39">
        <f t="shared" si="2"/>
        <v>1</v>
      </c>
      <c r="K28" s="39">
        <v>204</v>
      </c>
      <c r="L28" s="39">
        <v>2</v>
      </c>
      <c r="M28" s="39">
        <v>12000</v>
      </c>
      <c r="N28" s="39">
        <v>1</v>
      </c>
      <c r="O28" s="39">
        <v>1</v>
      </c>
      <c r="P28" s="39">
        <v>0</v>
      </c>
      <c r="Q28" s="39">
        <v>1</v>
      </c>
      <c r="R28" s="39">
        <v>0</v>
      </c>
      <c r="S28" s="44">
        <v>1</v>
      </c>
      <c r="T28" s="39" t="s">
        <v>91</v>
      </c>
      <c r="U28" s="45" t="s">
        <v>106</v>
      </c>
      <c r="V28" s="45" t="s">
        <v>107</v>
      </c>
      <c r="W28" s="39">
        <v>11000</v>
      </c>
      <c r="X28" s="39">
        <v>100</v>
      </c>
      <c r="Y28" s="39">
        <v>10000</v>
      </c>
      <c r="Z28">
        <v>40301001</v>
      </c>
      <c r="AA28" s="39">
        <v>0</v>
      </c>
      <c r="AB28" s="39">
        <v>0</v>
      </c>
      <c r="AC28" s="39">
        <v>0</v>
      </c>
      <c r="AD28" s="39">
        <v>0</v>
      </c>
      <c r="AE28" s="39">
        <v>0</v>
      </c>
      <c r="AF28" s="39">
        <v>20300</v>
      </c>
      <c r="AG28" s="39">
        <v>20300</v>
      </c>
      <c r="AH28" s="39">
        <v>0</v>
      </c>
      <c r="AI28" s="39">
        <v>0</v>
      </c>
      <c r="AJ28" s="39">
        <f t="shared" si="6"/>
        <v>4</v>
      </c>
      <c r="AK28" s="39">
        <v>480</v>
      </c>
      <c r="AL28" s="39">
        <v>0</v>
      </c>
      <c r="AM28" s="39">
        <v>0</v>
      </c>
      <c r="AO28" s="39" t="s">
        <v>100</v>
      </c>
    </row>
    <row r="29" spans="1:41" s="39" customFormat="1" ht="14.25">
      <c r="A29" s="39">
        <f t="shared" si="5"/>
        <v>111204002</v>
      </c>
      <c r="B29" s="39" t="s">
        <v>105</v>
      </c>
      <c r="C29" s="39">
        <v>240001</v>
      </c>
      <c r="D29" s="39">
        <v>2</v>
      </c>
      <c r="E29" s="39">
        <f t="shared" si="7"/>
        <v>111204003</v>
      </c>
      <c r="F29" s="39">
        <v>2000</v>
      </c>
      <c r="G29" s="39">
        <f t="shared" si="4"/>
        <v>20</v>
      </c>
      <c r="H29" s="10">
        <v>20000</v>
      </c>
      <c r="I29" s="10">
        <f t="shared" si="1"/>
        <v>0</v>
      </c>
      <c r="J29" s="39">
        <f t="shared" si="2"/>
        <v>10</v>
      </c>
      <c r="K29" s="39">
        <v>204</v>
      </c>
      <c r="L29" s="39">
        <v>2</v>
      </c>
      <c r="M29" s="39">
        <v>12000</v>
      </c>
      <c r="N29" s="39">
        <v>1</v>
      </c>
      <c r="O29" s="39">
        <v>1</v>
      </c>
      <c r="P29" s="39">
        <v>0</v>
      </c>
      <c r="Q29" s="39">
        <v>1</v>
      </c>
      <c r="R29" s="39">
        <v>0</v>
      </c>
      <c r="S29" s="44">
        <v>1</v>
      </c>
      <c r="T29" s="39" t="s">
        <v>91</v>
      </c>
      <c r="U29" s="45" t="s">
        <v>106</v>
      </c>
      <c r="V29" s="45" t="s">
        <v>107</v>
      </c>
      <c r="W29" s="39">
        <v>11400</v>
      </c>
      <c r="X29" s="39">
        <v>260</v>
      </c>
      <c r="Y29" s="39">
        <v>10000</v>
      </c>
      <c r="Z29">
        <v>40301002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20300</v>
      </c>
      <c r="AG29" s="39">
        <v>20300</v>
      </c>
      <c r="AH29" s="39">
        <v>0</v>
      </c>
      <c r="AI29" s="39">
        <v>0</v>
      </c>
      <c r="AJ29" s="39">
        <f t="shared" si="6"/>
        <v>4</v>
      </c>
      <c r="AK29" s="39">
        <v>480</v>
      </c>
      <c r="AL29" s="39">
        <v>0</v>
      </c>
      <c r="AM29" s="39">
        <v>0</v>
      </c>
      <c r="AO29" s="39" t="s">
        <v>101</v>
      </c>
    </row>
    <row r="30" spans="1:41" s="39" customFormat="1" ht="14.25">
      <c r="A30" s="39">
        <f t="shared" si="5"/>
        <v>111204003</v>
      </c>
      <c r="B30" s="39" t="s">
        <v>105</v>
      </c>
      <c r="C30" s="39">
        <v>240001</v>
      </c>
      <c r="D30" s="39">
        <v>3</v>
      </c>
      <c r="E30" s="39">
        <v>0</v>
      </c>
      <c r="F30" s="39">
        <v>3000</v>
      </c>
      <c r="G30" s="39">
        <f t="shared" si="4"/>
        <v>22</v>
      </c>
      <c r="H30" s="10">
        <v>30000</v>
      </c>
      <c r="I30" s="10">
        <f t="shared" si="1"/>
        <v>1</v>
      </c>
      <c r="J30" s="39">
        <f t="shared" si="2"/>
        <v>20</v>
      </c>
      <c r="K30" s="39">
        <v>204</v>
      </c>
      <c r="L30" s="39">
        <v>2</v>
      </c>
      <c r="M30" s="39">
        <v>12000</v>
      </c>
      <c r="N30" s="39">
        <v>1</v>
      </c>
      <c r="O30" s="39">
        <v>1</v>
      </c>
      <c r="P30" s="39">
        <v>0</v>
      </c>
      <c r="Q30" s="39">
        <v>1</v>
      </c>
      <c r="R30" s="39">
        <v>0</v>
      </c>
      <c r="S30" s="44">
        <v>1</v>
      </c>
      <c r="T30" s="39" t="s">
        <v>91</v>
      </c>
      <c r="U30" s="45" t="s">
        <v>106</v>
      </c>
      <c r="V30" s="45" t="s">
        <v>107</v>
      </c>
      <c r="W30" s="39">
        <v>11800</v>
      </c>
      <c r="X30" s="39">
        <v>420</v>
      </c>
      <c r="Y30" s="39">
        <v>10000</v>
      </c>
      <c r="Z30">
        <v>40301003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20300</v>
      </c>
      <c r="AG30" s="39">
        <v>20300</v>
      </c>
      <c r="AH30" s="39">
        <v>0</v>
      </c>
      <c r="AI30" s="39">
        <v>0</v>
      </c>
      <c r="AJ30" s="39">
        <f t="shared" si="6"/>
        <v>4</v>
      </c>
      <c r="AK30" s="39">
        <v>480</v>
      </c>
      <c r="AL30" s="39">
        <v>0</v>
      </c>
      <c r="AM30" s="39">
        <v>0</v>
      </c>
      <c r="AO30" s="39" t="s">
        <v>102</v>
      </c>
    </row>
    <row r="31" spans="1:41" s="39" customFormat="1" ht="14.25">
      <c r="A31" s="39">
        <f t="shared" si="5"/>
        <v>111205001</v>
      </c>
      <c r="B31" s="39" t="s">
        <v>108</v>
      </c>
      <c r="C31" s="39">
        <v>250001</v>
      </c>
      <c r="D31" s="39">
        <v>1</v>
      </c>
      <c r="E31" s="39">
        <f t="shared" si="7"/>
        <v>111205002</v>
      </c>
      <c r="F31" s="39">
        <v>1000</v>
      </c>
      <c r="G31" s="39">
        <f t="shared" si="4"/>
        <v>24</v>
      </c>
      <c r="H31" s="10">
        <v>10000</v>
      </c>
      <c r="I31" s="10">
        <f t="shared" si="1"/>
        <v>0</v>
      </c>
      <c r="J31" s="39">
        <f t="shared" si="2"/>
        <v>1</v>
      </c>
      <c r="K31" s="39">
        <v>205</v>
      </c>
      <c r="L31" s="39">
        <v>2</v>
      </c>
      <c r="M31" s="39">
        <v>12000</v>
      </c>
      <c r="N31" s="39">
        <v>1</v>
      </c>
      <c r="O31" s="39">
        <v>2</v>
      </c>
      <c r="P31" s="39">
        <v>0</v>
      </c>
      <c r="Q31" s="39">
        <v>1</v>
      </c>
      <c r="R31" s="39">
        <v>0</v>
      </c>
      <c r="S31" s="44">
        <v>3</v>
      </c>
      <c r="T31" s="39" t="s">
        <v>91</v>
      </c>
      <c r="U31" s="45">
        <v>3</v>
      </c>
      <c r="V31" s="45" t="s">
        <v>109</v>
      </c>
      <c r="W31" s="39">
        <v>11000</v>
      </c>
      <c r="X31" s="39">
        <v>100</v>
      </c>
      <c r="Y31" s="39">
        <v>10000</v>
      </c>
      <c r="Z31" s="39">
        <v>0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20400</v>
      </c>
      <c r="AG31" s="39">
        <v>20400</v>
      </c>
      <c r="AH31" s="39">
        <v>0</v>
      </c>
      <c r="AI31" s="39">
        <v>20402</v>
      </c>
      <c r="AJ31" s="39">
        <f t="shared" si="6"/>
        <v>5</v>
      </c>
      <c r="AK31" s="39">
        <v>480</v>
      </c>
      <c r="AL31" s="39">
        <v>0</v>
      </c>
      <c r="AM31" s="39">
        <v>0</v>
      </c>
      <c r="AO31" s="39" t="s">
        <v>100</v>
      </c>
    </row>
    <row r="32" spans="1:41" s="39" customFormat="1" ht="14.25">
      <c r="A32" s="39">
        <f t="shared" si="5"/>
        <v>111205002</v>
      </c>
      <c r="B32" s="39" t="s">
        <v>108</v>
      </c>
      <c r="C32" s="39">
        <v>250001</v>
      </c>
      <c r="D32" s="39">
        <v>2</v>
      </c>
      <c r="E32" s="39">
        <f t="shared" ref="E32:E37" si="8">E17+100000</f>
        <v>111205003</v>
      </c>
      <c r="F32" s="39">
        <v>2000</v>
      </c>
      <c r="G32" s="39">
        <f t="shared" si="4"/>
        <v>26</v>
      </c>
      <c r="H32" s="10">
        <v>20000</v>
      </c>
      <c r="I32" s="10">
        <f t="shared" si="1"/>
        <v>0</v>
      </c>
      <c r="J32" s="39">
        <f t="shared" si="2"/>
        <v>10</v>
      </c>
      <c r="K32" s="39">
        <v>205</v>
      </c>
      <c r="L32" s="39">
        <v>2</v>
      </c>
      <c r="M32" s="39">
        <v>12000</v>
      </c>
      <c r="N32" s="39">
        <v>1</v>
      </c>
      <c r="O32" s="39">
        <v>2</v>
      </c>
      <c r="P32" s="39">
        <v>0</v>
      </c>
      <c r="Q32" s="39">
        <v>1</v>
      </c>
      <c r="R32" s="39">
        <v>0</v>
      </c>
      <c r="S32" s="44">
        <v>3</v>
      </c>
      <c r="T32" s="39" t="s">
        <v>91</v>
      </c>
      <c r="U32" s="45">
        <v>3</v>
      </c>
      <c r="V32" s="45">
        <v>2</v>
      </c>
      <c r="W32" s="39">
        <v>11400</v>
      </c>
      <c r="X32" s="39">
        <v>260</v>
      </c>
      <c r="Y32" s="39">
        <v>10000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20400</v>
      </c>
      <c r="AG32" s="39">
        <v>20400</v>
      </c>
      <c r="AH32" s="39">
        <v>0</v>
      </c>
      <c r="AI32" s="39">
        <v>20402</v>
      </c>
      <c r="AJ32" s="39">
        <f t="shared" si="6"/>
        <v>5</v>
      </c>
      <c r="AK32" s="39">
        <v>480</v>
      </c>
      <c r="AL32" s="39">
        <v>0</v>
      </c>
      <c r="AM32" s="39">
        <v>0</v>
      </c>
      <c r="AO32" s="39" t="s">
        <v>101</v>
      </c>
    </row>
    <row r="33" spans="1:41" s="39" customFormat="1" ht="14.25">
      <c r="A33" s="39">
        <f t="shared" si="5"/>
        <v>111205003</v>
      </c>
      <c r="B33" s="39" t="s">
        <v>108</v>
      </c>
      <c r="C33" s="39">
        <v>250001</v>
      </c>
      <c r="D33" s="39">
        <v>3</v>
      </c>
      <c r="E33" s="39">
        <v>0</v>
      </c>
      <c r="F33" s="39">
        <v>3000</v>
      </c>
      <c r="G33" s="39">
        <f t="shared" si="4"/>
        <v>28</v>
      </c>
      <c r="H33" s="10">
        <v>30000</v>
      </c>
      <c r="I33" s="10">
        <f t="shared" si="1"/>
        <v>1</v>
      </c>
      <c r="J33" s="39">
        <f t="shared" si="2"/>
        <v>20</v>
      </c>
      <c r="K33" s="39">
        <v>205</v>
      </c>
      <c r="L33" s="39">
        <v>2</v>
      </c>
      <c r="M33" s="39">
        <v>12000</v>
      </c>
      <c r="N33" s="39">
        <v>1</v>
      </c>
      <c r="O33" s="39">
        <v>2</v>
      </c>
      <c r="P33" s="39">
        <v>0</v>
      </c>
      <c r="Q33" s="39">
        <v>1</v>
      </c>
      <c r="R33" s="39">
        <v>0</v>
      </c>
      <c r="S33" s="44">
        <v>3</v>
      </c>
      <c r="T33" s="39" t="s">
        <v>91</v>
      </c>
      <c r="U33" s="45">
        <v>3</v>
      </c>
      <c r="V33" s="45">
        <v>2</v>
      </c>
      <c r="W33" s="39">
        <v>11800</v>
      </c>
      <c r="X33" s="39">
        <v>420</v>
      </c>
      <c r="Y33" s="39">
        <v>10000</v>
      </c>
      <c r="Z33" s="39">
        <v>0</v>
      </c>
      <c r="AA33" s="39">
        <v>0</v>
      </c>
      <c r="AB33" s="39">
        <v>0</v>
      </c>
      <c r="AC33" s="39">
        <v>0</v>
      </c>
      <c r="AD33" s="39">
        <v>0</v>
      </c>
      <c r="AE33" s="39">
        <v>0</v>
      </c>
      <c r="AF33" s="39">
        <v>20400</v>
      </c>
      <c r="AG33" s="39">
        <v>20400</v>
      </c>
      <c r="AH33" s="39">
        <v>0</v>
      </c>
      <c r="AI33" s="39">
        <v>20402</v>
      </c>
      <c r="AJ33" s="39">
        <f t="shared" si="6"/>
        <v>5</v>
      </c>
      <c r="AK33" s="39">
        <v>480</v>
      </c>
      <c r="AL33" s="39">
        <v>0</v>
      </c>
      <c r="AM33" s="39">
        <v>0</v>
      </c>
      <c r="AO33" s="39" t="s">
        <v>102</v>
      </c>
    </row>
    <row r="34" spans="1:41" s="3" customFormat="1" ht="14.25">
      <c r="A34" s="3">
        <f t="shared" si="5"/>
        <v>111301001</v>
      </c>
      <c r="B34" s="3" t="s">
        <v>110</v>
      </c>
      <c r="C34" s="3">
        <v>310001</v>
      </c>
      <c r="D34" s="3">
        <v>1</v>
      </c>
      <c r="E34" s="3">
        <f t="shared" si="8"/>
        <v>111301002</v>
      </c>
      <c r="F34" s="3">
        <v>1000</v>
      </c>
      <c r="G34" s="3">
        <f t="shared" si="4"/>
        <v>0</v>
      </c>
      <c r="H34" s="10">
        <v>10000</v>
      </c>
      <c r="I34" s="10">
        <f t="shared" si="1"/>
        <v>0</v>
      </c>
      <c r="J34" s="3">
        <f t="shared" si="2"/>
        <v>1</v>
      </c>
      <c r="K34" s="3">
        <v>301</v>
      </c>
      <c r="L34" s="3">
        <v>3</v>
      </c>
      <c r="M34" s="3">
        <v>12000</v>
      </c>
      <c r="N34" s="3">
        <v>1</v>
      </c>
      <c r="O34" s="3">
        <v>0</v>
      </c>
      <c r="P34" s="3">
        <v>0</v>
      </c>
      <c r="Q34" s="3">
        <v>1</v>
      </c>
      <c r="R34" s="3">
        <v>0</v>
      </c>
      <c r="S34" s="22">
        <v>1</v>
      </c>
      <c r="T34" s="46" t="s">
        <v>91</v>
      </c>
      <c r="U34" s="47">
        <v>3</v>
      </c>
      <c r="V34" s="47">
        <v>2</v>
      </c>
      <c r="W34" s="3">
        <v>8500</v>
      </c>
      <c r="X34" s="3">
        <v>80</v>
      </c>
      <c r="Y34" s="3">
        <v>10000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30000</v>
      </c>
      <c r="AG34" s="3">
        <f>AF34</f>
        <v>30000</v>
      </c>
      <c r="AH34" s="3">
        <v>30001</v>
      </c>
      <c r="AI34" s="3">
        <v>30002</v>
      </c>
      <c r="AJ34" s="3">
        <v>1</v>
      </c>
      <c r="AK34" s="3">
        <v>480</v>
      </c>
      <c r="AL34" s="3">
        <v>1</v>
      </c>
      <c r="AM34" s="3">
        <v>1000</v>
      </c>
      <c r="AO34" s="3" t="s">
        <v>111</v>
      </c>
    </row>
    <row r="35" spans="1:41" s="3" customFormat="1" ht="14.25">
      <c r="A35" s="3">
        <f t="shared" si="5"/>
        <v>111301002</v>
      </c>
      <c r="B35" s="3" t="s">
        <v>110</v>
      </c>
      <c r="C35" s="3">
        <v>310001</v>
      </c>
      <c r="D35" s="3">
        <v>2</v>
      </c>
      <c r="E35" s="3">
        <f t="shared" si="8"/>
        <v>111301003</v>
      </c>
      <c r="F35" s="3">
        <v>2000</v>
      </c>
      <c r="G35" s="3">
        <f t="shared" si="4"/>
        <v>2</v>
      </c>
      <c r="H35" s="10">
        <v>20000</v>
      </c>
      <c r="I35" s="10">
        <f t="shared" si="1"/>
        <v>0</v>
      </c>
      <c r="J35" s="3">
        <f t="shared" si="2"/>
        <v>10</v>
      </c>
      <c r="K35" s="3">
        <v>301</v>
      </c>
      <c r="L35" s="3">
        <v>3</v>
      </c>
      <c r="M35" s="3">
        <v>12000</v>
      </c>
      <c r="N35" s="3">
        <v>1</v>
      </c>
      <c r="O35" s="3">
        <v>0</v>
      </c>
      <c r="P35" s="3">
        <v>0</v>
      </c>
      <c r="Q35" s="3">
        <v>1</v>
      </c>
      <c r="R35" s="3">
        <v>0</v>
      </c>
      <c r="S35" s="22">
        <v>1</v>
      </c>
      <c r="T35" s="46" t="s">
        <v>91</v>
      </c>
      <c r="U35" s="47">
        <v>3</v>
      </c>
      <c r="V35" s="47">
        <v>2</v>
      </c>
      <c r="W35" s="3">
        <v>8700</v>
      </c>
      <c r="X35" s="3">
        <v>160</v>
      </c>
      <c r="Y35" s="3">
        <v>10000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30000</v>
      </c>
      <c r="AG35" s="3">
        <f t="shared" ref="AG35:AG48" si="9">AF35</f>
        <v>30000</v>
      </c>
      <c r="AH35" s="3">
        <v>30001</v>
      </c>
      <c r="AI35" s="3">
        <v>30002</v>
      </c>
      <c r="AJ35" s="3">
        <v>1</v>
      </c>
      <c r="AK35" s="3">
        <v>480</v>
      </c>
      <c r="AL35" s="3">
        <v>1</v>
      </c>
      <c r="AM35" s="3">
        <v>1000</v>
      </c>
      <c r="AO35" s="3" t="s">
        <v>112</v>
      </c>
    </row>
    <row r="36" spans="1:41" s="3" customFormat="1" ht="14.25">
      <c r="A36" s="3">
        <f t="shared" si="5"/>
        <v>111301003</v>
      </c>
      <c r="B36" s="3" t="s">
        <v>110</v>
      </c>
      <c r="C36" s="3">
        <v>310001</v>
      </c>
      <c r="D36" s="3">
        <v>3</v>
      </c>
      <c r="E36" s="3">
        <v>0</v>
      </c>
      <c r="F36" s="3">
        <v>3000</v>
      </c>
      <c r="G36" s="3">
        <f t="shared" si="4"/>
        <v>4</v>
      </c>
      <c r="H36" s="10">
        <v>30000</v>
      </c>
      <c r="I36" s="10">
        <f t="shared" si="1"/>
        <v>1</v>
      </c>
      <c r="J36" s="3">
        <f t="shared" si="2"/>
        <v>20</v>
      </c>
      <c r="K36" s="3">
        <v>301</v>
      </c>
      <c r="L36" s="3">
        <v>3</v>
      </c>
      <c r="M36" s="3">
        <v>12000</v>
      </c>
      <c r="N36" s="3">
        <v>1</v>
      </c>
      <c r="O36" s="3">
        <v>0</v>
      </c>
      <c r="P36" s="3">
        <v>0</v>
      </c>
      <c r="Q36" s="3">
        <v>1</v>
      </c>
      <c r="R36" s="3">
        <v>0</v>
      </c>
      <c r="S36" s="22">
        <v>1</v>
      </c>
      <c r="T36" s="46" t="s">
        <v>91</v>
      </c>
      <c r="U36" s="47">
        <v>3</v>
      </c>
      <c r="V36" s="47">
        <v>2</v>
      </c>
      <c r="W36" s="3">
        <v>8900</v>
      </c>
      <c r="X36" s="3">
        <v>240</v>
      </c>
      <c r="Y36" s="3">
        <v>10000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30000</v>
      </c>
      <c r="AG36" s="3">
        <f t="shared" si="9"/>
        <v>30000</v>
      </c>
      <c r="AH36" s="3">
        <v>30001</v>
      </c>
      <c r="AI36" s="3">
        <v>30002</v>
      </c>
      <c r="AJ36" s="3">
        <v>1</v>
      </c>
      <c r="AK36" s="3">
        <v>480</v>
      </c>
      <c r="AL36" s="3">
        <v>1</v>
      </c>
      <c r="AM36" s="3">
        <v>1000</v>
      </c>
      <c r="AO36" s="3" t="s">
        <v>113</v>
      </c>
    </row>
    <row r="37" spans="1:41" s="3" customFormat="1" ht="14.25">
      <c r="A37" s="3">
        <f t="shared" si="5"/>
        <v>111302001</v>
      </c>
      <c r="B37" s="3" t="s">
        <v>114</v>
      </c>
      <c r="C37" s="3">
        <v>320001</v>
      </c>
      <c r="D37" s="3">
        <v>1</v>
      </c>
      <c r="E37" s="3">
        <f t="shared" si="8"/>
        <v>111302002</v>
      </c>
      <c r="F37" s="3">
        <v>1000</v>
      </c>
      <c r="G37" s="3">
        <f t="shared" si="4"/>
        <v>6</v>
      </c>
      <c r="H37" s="10">
        <v>10000</v>
      </c>
      <c r="I37" s="10">
        <f t="shared" si="1"/>
        <v>0</v>
      </c>
      <c r="J37" s="3">
        <f t="shared" si="2"/>
        <v>1</v>
      </c>
      <c r="K37" s="3">
        <v>302</v>
      </c>
      <c r="L37" s="3">
        <v>3</v>
      </c>
      <c r="M37" s="3">
        <v>12000</v>
      </c>
      <c r="N37" s="3">
        <v>1</v>
      </c>
      <c r="O37" s="3">
        <v>0</v>
      </c>
      <c r="P37" s="3">
        <v>0</v>
      </c>
      <c r="Q37" s="3">
        <v>1</v>
      </c>
      <c r="R37" s="3">
        <v>0</v>
      </c>
      <c r="S37" s="22">
        <v>1</v>
      </c>
      <c r="T37" s="46" t="s">
        <v>91</v>
      </c>
      <c r="U37" s="48" t="s">
        <v>109</v>
      </c>
      <c r="V37" s="48" t="s">
        <v>107</v>
      </c>
      <c r="W37" s="3">
        <v>8500</v>
      </c>
      <c r="X37" s="3">
        <v>80</v>
      </c>
      <c r="Y37" s="3">
        <v>10000</v>
      </c>
      <c r="Z37">
        <v>40304001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30100</v>
      </c>
      <c r="AG37" s="3">
        <f t="shared" si="9"/>
        <v>30100</v>
      </c>
      <c r="AH37" s="3">
        <v>0</v>
      </c>
      <c r="AI37" s="3">
        <v>30402</v>
      </c>
      <c r="AJ37" s="3">
        <f>AJ34+1</f>
        <v>2</v>
      </c>
      <c r="AK37" s="3">
        <v>480</v>
      </c>
      <c r="AL37" s="3">
        <v>0</v>
      </c>
      <c r="AM37" s="3">
        <v>0</v>
      </c>
      <c r="AO37" s="3" t="s">
        <v>111</v>
      </c>
    </row>
    <row r="38" spans="1:41" s="3" customFormat="1" ht="14.25">
      <c r="A38" s="3">
        <f t="shared" si="5"/>
        <v>111302002</v>
      </c>
      <c r="B38" s="3" t="s">
        <v>114</v>
      </c>
      <c r="C38" s="3">
        <v>320001</v>
      </c>
      <c r="D38" s="3">
        <v>2</v>
      </c>
      <c r="E38" s="3">
        <f t="shared" ref="E38:E44" si="10">E23+100000</f>
        <v>111302003</v>
      </c>
      <c r="F38" s="3">
        <v>2000</v>
      </c>
      <c r="G38" s="3">
        <f t="shared" si="4"/>
        <v>8</v>
      </c>
      <c r="H38" s="10">
        <v>20000</v>
      </c>
      <c r="I38" s="10">
        <f t="shared" si="1"/>
        <v>0</v>
      </c>
      <c r="J38" s="3">
        <f t="shared" si="2"/>
        <v>10</v>
      </c>
      <c r="K38" s="3">
        <v>302</v>
      </c>
      <c r="L38" s="3">
        <v>3</v>
      </c>
      <c r="M38" s="3">
        <v>12000</v>
      </c>
      <c r="N38" s="3">
        <v>1</v>
      </c>
      <c r="O38" s="3">
        <v>0</v>
      </c>
      <c r="P38" s="3">
        <v>0</v>
      </c>
      <c r="Q38" s="3">
        <v>1</v>
      </c>
      <c r="R38" s="3">
        <v>0</v>
      </c>
      <c r="S38" s="22">
        <v>1</v>
      </c>
      <c r="T38" s="46" t="s">
        <v>91</v>
      </c>
      <c r="U38" s="48" t="s">
        <v>109</v>
      </c>
      <c r="V38" s="48" t="s">
        <v>107</v>
      </c>
      <c r="W38" s="3">
        <v>8700</v>
      </c>
      <c r="X38" s="3">
        <v>160</v>
      </c>
      <c r="Y38" s="3">
        <v>10000</v>
      </c>
      <c r="Z38">
        <v>40304002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30100</v>
      </c>
      <c r="AG38" s="3">
        <f t="shared" si="9"/>
        <v>30100</v>
      </c>
      <c r="AH38" s="3">
        <v>0</v>
      </c>
      <c r="AI38" s="3">
        <v>30402</v>
      </c>
      <c r="AJ38" s="3">
        <f t="shared" ref="AJ38:AJ48" si="11">AJ35+1</f>
        <v>2</v>
      </c>
      <c r="AK38" s="3">
        <v>480</v>
      </c>
      <c r="AL38" s="3">
        <v>0</v>
      </c>
      <c r="AM38" s="3">
        <v>0</v>
      </c>
      <c r="AO38" s="3" t="s">
        <v>112</v>
      </c>
    </row>
    <row r="39" spans="1:41" s="3" customFormat="1" ht="14.25">
      <c r="A39" s="3">
        <f t="shared" si="5"/>
        <v>111302003</v>
      </c>
      <c r="B39" s="3" t="s">
        <v>114</v>
      </c>
      <c r="C39" s="3">
        <v>320001</v>
      </c>
      <c r="D39" s="3">
        <v>3</v>
      </c>
      <c r="E39" s="3">
        <v>0</v>
      </c>
      <c r="F39" s="3">
        <v>3000</v>
      </c>
      <c r="G39" s="3">
        <f t="shared" si="4"/>
        <v>10</v>
      </c>
      <c r="H39" s="10">
        <v>30000</v>
      </c>
      <c r="I39" s="10">
        <f t="shared" si="1"/>
        <v>1</v>
      </c>
      <c r="J39" s="3">
        <f t="shared" si="2"/>
        <v>20</v>
      </c>
      <c r="K39" s="3">
        <v>302</v>
      </c>
      <c r="L39" s="3">
        <v>3</v>
      </c>
      <c r="M39" s="3">
        <v>12000</v>
      </c>
      <c r="N39" s="3">
        <v>1</v>
      </c>
      <c r="O39" s="3">
        <v>0</v>
      </c>
      <c r="P39" s="3">
        <v>0</v>
      </c>
      <c r="Q39" s="3">
        <v>1</v>
      </c>
      <c r="R39" s="3">
        <v>0</v>
      </c>
      <c r="S39" s="22">
        <v>1</v>
      </c>
      <c r="T39" s="46" t="s">
        <v>91</v>
      </c>
      <c r="U39" s="48" t="s">
        <v>109</v>
      </c>
      <c r="V39" s="48" t="s">
        <v>107</v>
      </c>
      <c r="W39" s="3">
        <v>8900</v>
      </c>
      <c r="X39" s="3">
        <v>240</v>
      </c>
      <c r="Y39" s="3">
        <v>10000</v>
      </c>
      <c r="Z39">
        <v>40304003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30100</v>
      </c>
      <c r="AG39" s="3">
        <f t="shared" si="9"/>
        <v>30100</v>
      </c>
      <c r="AH39" s="3">
        <v>0</v>
      </c>
      <c r="AI39" s="3">
        <v>30402</v>
      </c>
      <c r="AJ39" s="3">
        <f t="shared" si="11"/>
        <v>2</v>
      </c>
      <c r="AK39" s="3">
        <v>480</v>
      </c>
      <c r="AL39" s="3">
        <v>0</v>
      </c>
      <c r="AM39" s="3">
        <v>0</v>
      </c>
      <c r="AO39" s="3" t="s">
        <v>113</v>
      </c>
    </row>
    <row r="40" spans="1:41" s="3" customFormat="1" ht="14.25">
      <c r="A40" s="3">
        <f t="shared" si="5"/>
        <v>111303001</v>
      </c>
      <c r="B40" s="3" t="s">
        <v>115</v>
      </c>
      <c r="C40" s="3">
        <v>330001</v>
      </c>
      <c r="D40" s="3">
        <v>1</v>
      </c>
      <c r="E40" s="3">
        <f t="shared" si="10"/>
        <v>111303002</v>
      </c>
      <c r="F40" s="3">
        <v>1000</v>
      </c>
      <c r="G40" s="3">
        <f t="shared" si="4"/>
        <v>12</v>
      </c>
      <c r="H40" s="10">
        <v>10000</v>
      </c>
      <c r="I40" s="10">
        <f t="shared" si="1"/>
        <v>0</v>
      </c>
      <c r="J40" s="3">
        <f t="shared" si="2"/>
        <v>1</v>
      </c>
      <c r="K40" s="3">
        <v>303</v>
      </c>
      <c r="L40" s="3">
        <v>3</v>
      </c>
      <c r="M40" s="3">
        <v>12000</v>
      </c>
      <c r="N40" s="3">
        <v>1</v>
      </c>
      <c r="O40" s="3">
        <v>0</v>
      </c>
      <c r="P40" s="3">
        <v>0</v>
      </c>
      <c r="Q40" s="3">
        <v>1</v>
      </c>
      <c r="R40" s="3">
        <v>0</v>
      </c>
      <c r="S40" s="22">
        <v>1</v>
      </c>
      <c r="T40" s="46" t="s">
        <v>91</v>
      </c>
      <c r="U40" s="47">
        <v>3</v>
      </c>
      <c r="V40" s="47">
        <v>2</v>
      </c>
      <c r="W40" s="3">
        <v>8500</v>
      </c>
      <c r="X40" s="3">
        <v>80</v>
      </c>
      <c r="Y40" s="3">
        <v>10000</v>
      </c>
      <c r="Z40">
        <v>40302001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30200</v>
      </c>
      <c r="AG40" s="3">
        <f t="shared" si="9"/>
        <v>30200</v>
      </c>
      <c r="AH40" s="3">
        <v>0</v>
      </c>
      <c r="AI40" s="3">
        <v>30202</v>
      </c>
      <c r="AJ40" s="3">
        <f t="shared" si="11"/>
        <v>3</v>
      </c>
      <c r="AK40" s="3">
        <v>480</v>
      </c>
      <c r="AL40" s="3">
        <v>0</v>
      </c>
      <c r="AM40" s="3">
        <v>0</v>
      </c>
      <c r="AO40" s="3" t="s">
        <v>111</v>
      </c>
    </row>
    <row r="41" spans="1:41" s="3" customFormat="1" ht="14.25">
      <c r="A41" s="3">
        <f t="shared" si="5"/>
        <v>111303002</v>
      </c>
      <c r="B41" s="3" t="s">
        <v>115</v>
      </c>
      <c r="C41" s="3">
        <v>330001</v>
      </c>
      <c r="D41" s="3">
        <v>2</v>
      </c>
      <c r="E41" s="3">
        <f t="shared" si="10"/>
        <v>111303003</v>
      </c>
      <c r="F41" s="3">
        <v>2000</v>
      </c>
      <c r="G41" s="3">
        <f t="shared" si="4"/>
        <v>14</v>
      </c>
      <c r="H41" s="10">
        <v>20000</v>
      </c>
      <c r="I41" s="10">
        <f t="shared" si="1"/>
        <v>0</v>
      </c>
      <c r="J41" s="3">
        <f t="shared" si="2"/>
        <v>10</v>
      </c>
      <c r="K41" s="3">
        <v>303</v>
      </c>
      <c r="L41" s="3">
        <v>3</v>
      </c>
      <c r="M41" s="3">
        <v>12000</v>
      </c>
      <c r="N41" s="3">
        <v>1</v>
      </c>
      <c r="O41" s="3">
        <v>0</v>
      </c>
      <c r="P41" s="3">
        <v>0</v>
      </c>
      <c r="Q41" s="3">
        <v>1</v>
      </c>
      <c r="R41" s="3">
        <v>0</v>
      </c>
      <c r="S41" s="22">
        <v>1</v>
      </c>
      <c r="T41" s="46" t="s">
        <v>91</v>
      </c>
      <c r="U41" s="47">
        <v>3</v>
      </c>
      <c r="V41" s="47">
        <v>2</v>
      </c>
      <c r="W41" s="3">
        <v>8700</v>
      </c>
      <c r="X41" s="3">
        <v>160</v>
      </c>
      <c r="Y41" s="3">
        <v>10000</v>
      </c>
      <c r="Z41">
        <v>40302002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30200</v>
      </c>
      <c r="AG41" s="3">
        <f t="shared" si="9"/>
        <v>30200</v>
      </c>
      <c r="AH41" s="3">
        <v>0</v>
      </c>
      <c r="AI41" s="3">
        <v>30202</v>
      </c>
      <c r="AJ41" s="3">
        <f t="shared" si="11"/>
        <v>3</v>
      </c>
      <c r="AK41" s="3">
        <v>480</v>
      </c>
      <c r="AL41" s="3">
        <v>0</v>
      </c>
      <c r="AM41" s="3">
        <v>0</v>
      </c>
      <c r="AO41" s="3" t="s">
        <v>112</v>
      </c>
    </row>
    <row r="42" spans="1:41" s="3" customFormat="1" ht="14.25">
      <c r="A42" s="3">
        <f t="shared" si="5"/>
        <v>111303003</v>
      </c>
      <c r="B42" s="3" t="s">
        <v>115</v>
      </c>
      <c r="C42" s="3">
        <v>330001</v>
      </c>
      <c r="D42" s="3">
        <v>3</v>
      </c>
      <c r="E42" s="3">
        <v>0</v>
      </c>
      <c r="F42" s="3">
        <v>3000</v>
      </c>
      <c r="G42" s="3">
        <f t="shared" si="4"/>
        <v>16</v>
      </c>
      <c r="H42" s="10">
        <v>30000</v>
      </c>
      <c r="I42" s="10">
        <f t="shared" si="1"/>
        <v>1</v>
      </c>
      <c r="J42" s="3">
        <f t="shared" si="2"/>
        <v>20</v>
      </c>
      <c r="K42" s="3">
        <v>303</v>
      </c>
      <c r="L42" s="3">
        <v>3</v>
      </c>
      <c r="M42" s="3">
        <v>12000</v>
      </c>
      <c r="N42" s="3">
        <v>1</v>
      </c>
      <c r="O42" s="3">
        <v>0</v>
      </c>
      <c r="P42" s="3">
        <v>0</v>
      </c>
      <c r="Q42" s="3">
        <v>1</v>
      </c>
      <c r="R42" s="3">
        <v>0</v>
      </c>
      <c r="S42" s="22">
        <v>1</v>
      </c>
      <c r="T42" s="46" t="s">
        <v>91</v>
      </c>
      <c r="U42" s="47">
        <v>3</v>
      </c>
      <c r="V42" s="47">
        <v>2</v>
      </c>
      <c r="W42" s="3">
        <v>8900</v>
      </c>
      <c r="X42" s="3">
        <v>240</v>
      </c>
      <c r="Y42" s="3">
        <v>10000</v>
      </c>
      <c r="Z42">
        <v>40302003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30200</v>
      </c>
      <c r="AG42" s="3">
        <f t="shared" si="9"/>
        <v>30200</v>
      </c>
      <c r="AH42" s="3">
        <v>0</v>
      </c>
      <c r="AI42" s="3">
        <v>30202</v>
      </c>
      <c r="AJ42" s="3">
        <f t="shared" si="11"/>
        <v>3</v>
      </c>
      <c r="AK42" s="3">
        <v>480</v>
      </c>
      <c r="AL42" s="3">
        <v>0</v>
      </c>
      <c r="AM42" s="3">
        <v>0</v>
      </c>
      <c r="AO42" s="3" t="s">
        <v>113</v>
      </c>
    </row>
    <row r="43" spans="1:41" s="3" customFormat="1" ht="14.25">
      <c r="A43" s="3">
        <f t="shared" si="5"/>
        <v>111304001</v>
      </c>
      <c r="B43" s="3" t="s">
        <v>116</v>
      </c>
      <c r="C43" s="3">
        <v>340001</v>
      </c>
      <c r="D43" s="3">
        <v>1</v>
      </c>
      <c r="E43" s="3">
        <f t="shared" si="10"/>
        <v>111304002</v>
      </c>
      <c r="F43" s="3">
        <v>1000</v>
      </c>
      <c r="G43" s="3">
        <f t="shared" si="4"/>
        <v>18</v>
      </c>
      <c r="H43" s="10">
        <v>10000</v>
      </c>
      <c r="I43" s="10">
        <f t="shared" si="1"/>
        <v>0</v>
      </c>
      <c r="J43" s="3">
        <f t="shared" si="2"/>
        <v>1</v>
      </c>
      <c r="K43" s="3">
        <v>304</v>
      </c>
      <c r="L43" s="3">
        <v>3</v>
      </c>
      <c r="M43" s="3">
        <v>12000</v>
      </c>
      <c r="N43" s="3">
        <v>1</v>
      </c>
      <c r="O43" s="3">
        <v>0</v>
      </c>
      <c r="P43" s="3">
        <v>0</v>
      </c>
      <c r="Q43" s="3">
        <v>1</v>
      </c>
      <c r="R43" s="3">
        <v>0</v>
      </c>
      <c r="S43" s="22">
        <v>5</v>
      </c>
      <c r="T43" s="46" t="s">
        <v>91</v>
      </c>
      <c r="U43" s="48" t="s">
        <v>109</v>
      </c>
      <c r="V43" s="48" t="s">
        <v>107</v>
      </c>
      <c r="W43" s="3">
        <v>8500</v>
      </c>
      <c r="X43" s="3">
        <v>80</v>
      </c>
      <c r="Y43" s="3">
        <v>10000</v>
      </c>
      <c r="Z43">
        <v>40303001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30300</v>
      </c>
      <c r="AG43" s="3">
        <f t="shared" si="9"/>
        <v>30300</v>
      </c>
      <c r="AH43" s="3">
        <v>0</v>
      </c>
      <c r="AI43" s="3">
        <v>0</v>
      </c>
      <c r="AJ43" s="3">
        <f t="shared" si="11"/>
        <v>4</v>
      </c>
      <c r="AK43" s="3">
        <v>480</v>
      </c>
      <c r="AL43" s="3">
        <v>0</v>
      </c>
      <c r="AM43" s="3">
        <v>0</v>
      </c>
      <c r="AO43" s="3" t="s">
        <v>111</v>
      </c>
    </row>
    <row r="44" spans="1:41" s="3" customFormat="1" ht="14.25">
      <c r="A44" s="3">
        <f t="shared" si="5"/>
        <v>111304002</v>
      </c>
      <c r="B44" s="3" t="s">
        <v>116</v>
      </c>
      <c r="C44" s="3">
        <v>340001</v>
      </c>
      <c r="D44" s="3">
        <v>2</v>
      </c>
      <c r="E44" s="3">
        <f t="shared" si="10"/>
        <v>111304003</v>
      </c>
      <c r="F44" s="3">
        <v>2000</v>
      </c>
      <c r="G44" s="3">
        <f t="shared" si="4"/>
        <v>20</v>
      </c>
      <c r="H44" s="10">
        <v>20000</v>
      </c>
      <c r="I44" s="10">
        <f t="shared" si="1"/>
        <v>0</v>
      </c>
      <c r="J44" s="3">
        <f t="shared" si="2"/>
        <v>10</v>
      </c>
      <c r="K44" s="3">
        <v>304</v>
      </c>
      <c r="L44" s="3">
        <v>3</v>
      </c>
      <c r="M44" s="3">
        <v>12000</v>
      </c>
      <c r="N44" s="3">
        <v>1</v>
      </c>
      <c r="O44" s="3">
        <v>0</v>
      </c>
      <c r="P44" s="3">
        <v>0</v>
      </c>
      <c r="Q44" s="3">
        <v>1</v>
      </c>
      <c r="R44" s="3">
        <v>0</v>
      </c>
      <c r="S44" s="22">
        <v>5</v>
      </c>
      <c r="T44" s="46" t="s">
        <v>91</v>
      </c>
      <c r="U44" s="48" t="s">
        <v>109</v>
      </c>
      <c r="V44" s="48" t="s">
        <v>107</v>
      </c>
      <c r="W44" s="3">
        <v>8700</v>
      </c>
      <c r="X44" s="3">
        <v>160</v>
      </c>
      <c r="Y44" s="3">
        <v>10000</v>
      </c>
      <c r="Z44">
        <v>40303002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30300</v>
      </c>
      <c r="AG44" s="3">
        <f t="shared" si="9"/>
        <v>30300</v>
      </c>
      <c r="AH44" s="3">
        <v>0</v>
      </c>
      <c r="AI44" s="3">
        <v>0</v>
      </c>
      <c r="AJ44" s="3">
        <f t="shared" si="11"/>
        <v>4</v>
      </c>
      <c r="AK44" s="3">
        <v>480</v>
      </c>
      <c r="AL44" s="3">
        <v>0</v>
      </c>
      <c r="AM44" s="3">
        <v>0</v>
      </c>
      <c r="AO44" s="3" t="s">
        <v>112</v>
      </c>
    </row>
    <row r="45" spans="1:41" s="3" customFormat="1" ht="14.25">
      <c r="A45" s="3">
        <f t="shared" si="5"/>
        <v>111304003</v>
      </c>
      <c r="B45" s="3" t="s">
        <v>116</v>
      </c>
      <c r="C45" s="3">
        <v>340001</v>
      </c>
      <c r="D45" s="3">
        <v>3</v>
      </c>
      <c r="E45" s="3">
        <v>0</v>
      </c>
      <c r="F45" s="3">
        <v>3000</v>
      </c>
      <c r="G45" s="3">
        <f t="shared" si="4"/>
        <v>22</v>
      </c>
      <c r="H45" s="10">
        <v>30000</v>
      </c>
      <c r="I45" s="10">
        <f t="shared" si="1"/>
        <v>1</v>
      </c>
      <c r="J45" s="3">
        <f t="shared" si="2"/>
        <v>20</v>
      </c>
      <c r="K45" s="3">
        <v>304</v>
      </c>
      <c r="L45" s="3">
        <v>3</v>
      </c>
      <c r="M45" s="3">
        <v>12000</v>
      </c>
      <c r="N45" s="3">
        <v>1</v>
      </c>
      <c r="O45" s="3">
        <v>0</v>
      </c>
      <c r="P45" s="3">
        <v>0</v>
      </c>
      <c r="Q45" s="3">
        <v>1</v>
      </c>
      <c r="R45" s="3">
        <v>0</v>
      </c>
      <c r="S45" s="22">
        <v>5</v>
      </c>
      <c r="T45" s="46" t="s">
        <v>91</v>
      </c>
      <c r="U45" s="48" t="s">
        <v>109</v>
      </c>
      <c r="V45" s="48" t="s">
        <v>107</v>
      </c>
      <c r="W45" s="3">
        <v>8900</v>
      </c>
      <c r="X45" s="3">
        <v>240</v>
      </c>
      <c r="Y45" s="3">
        <v>10000</v>
      </c>
      <c r="Z45">
        <v>40303003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30300</v>
      </c>
      <c r="AG45" s="3">
        <f t="shared" si="9"/>
        <v>30300</v>
      </c>
      <c r="AH45" s="3">
        <v>0</v>
      </c>
      <c r="AI45" s="3">
        <v>0</v>
      </c>
      <c r="AJ45" s="3">
        <f t="shared" si="11"/>
        <v>4</v>
      </c>
      <c r="AK45" s="3">
        <v>480</v>
      </c>
      <c r="AL45" s="3">
        <v>0</v>
      </c>
      <c r="AM45" s="3">
        <v>0</v>
      </c>
      <c r="AO45" s="3" t="s">
        <v>113</v>
      </c>
    </row>
    <row r="46" spans="1:41" s="3" customFormat="1" ht="14.25">
      <c r="A46" s="3">
        <f t="shared" si="5"/>
        <v>111305001</v>
      </c>
      <c r="B46" s="3" t="s">
        <v>117</v>
      </c>
      <c r="C46" s="3">
        <v>350001</v>
      </c>
      <c r="D46" s="3">
        <v>1</v>
      </c>
      <c r="E46" s="3">
        <f>E31+100000</f>
        <v>111305002</v>
      </c>
      <c r="F46" s="3">
        <v>1000</v>
      </c>
      <c r="G46" s="3">
        <f t="shared" si="4"/>
        <v>24</v>
      </c>
      <c r="H46" s="10">
        <v>10000</v>
      </c>
      <c r="I46" s="10">
        <f t="shared" si="1"/>
        <v>0</v>
      </c>
      <c r="J46" s="3">
        <f t="shared" si="2"/>
        <v>1</v>
      </c>
      <c r="K46" s="3">
        <v>305</v>
      </c>
      <c r="L46" s="3">
        <v>3</v>
      </c>
      <c r="M46" s="3">
        <v>12000</v>
      </c>
      <c r="N46" s="3">
        <v>1</v>
      </c>
      <c r="O46" s="3">
        <v>0</v>
      </c>
      <c r="P46" s="3">
        <v>0</v>
      </c>
      <c r="Q46" s="3">
        <v>1</v>
      </c>
      <c r="R46" s="3">
        <v>0</v>
      </c>
      <c r="S46" s="22">
        <v>1</v>
      </c>
      <c r="T46" s="46">
        <v>0</v>
      </c>
      <c r="U46" s="48" t="s">
        <v>106</v>
      </c>
      <c r="V46" s="48" t="s">
        <v>106</v>
      </c>
      <c r="W46" s="3">
        <v>8500</v>
      </c>
      <c r="X46" s="3">
        <v>80</v>
      </c>
      <c r="Y46" s="3">
        <v>10000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30400</v>
      </c>
      <c r="AG46" s="3">
        <f t="shared" si="9"/>
        <v>30400</v>
      </c>
      <c r="AH46" s="3">
        <v>0</v>
      </c>
      <c r="AI46" s="3">
        <v>0</v>
      </c>
      <c r="AJ46" s="3">
        <f t="shared" si="11"/>
        <v>5</v>
      </c>
      <c r="AK46" s="3">
        <v>480</v>
      </c>
      <c r="AL46" s="3">
        <v>0</v>
      </c>
      <c r="AM46" s="3">
        <v>0</v>
      </c>
      <c r="AO46" s="3" t="s">
        <v>111</v>
      </c>
    </row>
    <row r="47" spans="1:41" s="3" customFormat="1" ht="14.25">
      <c r="A47" s="3">
        <f t="shared" si="5"/>
        <v>111305002</v>
      </c>
      <c r="B47" s="3" t="s">
        <v>117</v>
      </c>
      <c r="C47" s="3">
        <v>350001</v>
      </c>
      <c r="D47" s="3">
        <v>2</v>
      </c>
      <c r="E47" s="3">
        <f>E32+100000</f>
        <v>111305003</v>
      </c>
      <c r="F47" s="3">
        <v>2000</v>
      </c>
      <c r="G47" s="3">
        <f t="shared" si="4"/>
        <v>26</v>
      </c>
      <c r="H47" s="10">
        <v>20000</v>
      </c>
      <c r="I47" s="10">
        <f t="shared" si="1"/>
        <v>0</v>
      </c>
      <c r="J47" s="3">
        <f t="shared" si="2"/>
        <v>10</v>
      </c>
      <c r="K47" s="3">
        <v>305</v>
      </c>
      <c r="L47" s="3">
        <v>3</v>
      </c>
      <c r="M47" s="3">
        <v>12000</v>
      </c>
      <c r="N47" s="3">
        <v>1</v>
      </c>
      <c r="O47" s="3">
        <v>0</v>
      </c>
      <c r="P47" s="3">
        <v>0</v>
      </c>
      <c r="Q47" s="3">
        <v>1</v>
      </c>
      <c r="R47" s="3">
        <v>0</v>
      </c>
      <c r="S47" s="22">
        <v>1</v>
      </c>
      <c r="T47" s="46">
        <v>0</v>
      </c>
      <c r="U47" s="48" t="s">
        <v>106</v>
      </c>
      <c r="V47" s="48" t="s">
        <v>106</v>
      </c>
      <c r="W47" s="3">
        <v>8700</v>
      </c>
      <c r="X47" s="3">
        <v>160</v>
      </c>
      <c r="Y47" s="3">
        <v>10000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30400</v>
      </c>
      <c r="AG47" s="3">
        <f t="shared" si="9"/>
        <v>30400</v>
      </c>
      <c r="AH47" s="3">
        <v>0</v>
      </c>
      <c r="AI47" s="3">
        <v>0</v>
      </c>
      <c r="AJ47" s="3">
        <f t="shared" si="11"/>
        <v>5</v>
      </c>
      <c r="AK47" s="3">
        <v>480</v>
      </c>
      <c r="AL47" s="3">
        <v>0</v>
      </c>
      <c r="AM47" s="3">
        <v>0</v>
      </c>
      <c r="AO47" s="3" t="s">
        <v>112</v>
      </c>
    </row>
    <row r="48" spans="1:41" s="3" customFormat="1" ht="14.25">
      <c r="A48" s="3">
        <f t="shared" si="5"/>
        <v>111305003</v>
      </c>
      <c r="B48" s="3" t="s">
        <v>117</v>
      </c>
      <c r="C48" s="3">
        <v>350001</v>
      </c>
      <c r="D48" s="3">
        <v>3</v>
      </c>
      <c r="E48" s="3">
        <v>0</v>
      </c>
      <c r="F48" s="3">
        <v>3000</v>
      </c>
      <c r="G48" s="3">
        <f t="shared" si="4"/>
        <v>28</v>
      </c>
      <c r="H48" s="10">
        <v>30000</v>
      </c>
      <c r="I48" s="10">
        <f t="shared" si="1"/>
        <v>1</v>
      </c>
      <c r="J48" s="3">
        <f t="shared" si="2"/>
        <v>20</v>
      </c>
      <c r="K48" s="3">
        <v>305</v>
      </c>
      <c r="L48" s="3">
        <v>3</v>
      </c>
      <c r="M48" s="3">
        <v>12000</v>
      </c>
      <c r="N48" s="3">
        <v>1</v>
      </c>
      <c r="O48" s="3">
        <v>0</v>
      </c>
      <c r="P48" s="3">
        <v>0</v>
      </c>
      <c r="Q48" s="3">
        <v>1</v>
      </c>
      <c r="R48" s="3">
        <v>0</v>
      </c>
      <c r="S48" s="22">
        <v>1</v>
      </c>
      <c r="T48" s="46">
        <v>0</v>
      </c>
      <c r="U48" s="48" t="s">
        <v>106</v>
      </c>
      <c r="V48" s="48" t="s">
        <v>106</v>
      </c>
      <c r="W48" s="3">
        <v>8900</v>
      </c>
      <c r="X48" s="3">
        <v>240</v>
      </c>
      <c r="Y48" s="3">
        <v>10000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30400</v>
      </c>
      <c r="AG48" s="3">
        <f t="shared" si="9"/>
        <v>30400</v>
      </c>
      <c r="AH48" s="3">
        <v>0</v>
      </c>
      <c r="AI48" s="3">
        <v>0</v>
      </c>
      <c r="AJ48" s="3">
        <f t="shared" si="11"/>
        <v>5</v>
      </c>
      <c r="AK48" s="3">
        <v>480</v>
      </c>
      <c r="AL48" s="3">
        <v>0</v>
      </c>
      <c r="AM48" s="3">
        <v>0</v>
      </c>
      <c r="AO48" s="3" t="s">
        <v>113</v>
      </c>
    </row>
    <row r="49" spans="1:41" s="40" customFormat="1" ht="14.25">
      <c r="A49" s="42">
        <v>112001001</v>
      </c>
      <c r="B49" s="42" t="s">
        <v>118</v>
      </c>
      <c r="C49" s="42">
        <v>110001</v>
      </c>
      <c r="D49" s="43">
        <v>1</v>
      </c>
      <c r="E49" s="43">
        <v>0</v>
      </c>
      <c r="F49" s="43">
        <v>0</v>
      </c>
      <c r="G49" s="43">
        <v>0</v>
      </c>
      <c r="H49" s="43"/>
      <c r="I49" s="10">
        <f t="shared" si="1"/>
        <v>0</v>
      </c>
      <c r="J49" s="43">
        <v>1</v>
      </c>
      <c r="K49" s="43">
        <v>0</v>
      </c>
      <c r="L49" s="43">
        <v>1</v>
      </c>
      <c r="M49" s="43">
        <v>850</v>
      </c>
      <c r="N49" s="43">
        <v>1</v>
      </c>
      <c r="O49" s="43">
        <v>1</v>
      </c>
      <c r="P49" s="43">
        <v>1</v>
      </c>
      <c r="Q49" s="43">
        <v>1</v>
      </c>
      <c r="R49" s="43">
        <v>1</v>
      </c>
      <c r="S49" s="43">
        <v>1</v>
      </c>
      <c r="T49" s="43" t="s">
        <v>119</v>
      </c>
      <c r="U49" s="43">
        <v>3</v>
      </c>
      <c r="V49" s="43">
        <v>2</v>
      </c>
      <c r="W49" s="43">
        <v>10000</v>
      </c>
      <c r="X49" s="43">
        <v>0</v>
      </c>
      <c r="Y49" s="43">
        <v>10000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1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/>
      <c r="AO49" s="43" t="s">
        <v>120</v>
      </c>
    </row>
  </sheetData>
  <phoneticPr fontId="10" type="noConversion"/>
  <conditionalFormatting sqref="A2">
    <cfRule type="duplicateValues" dxfId="20" priority="21"/>
  </conditionalFormatting>
  <conditionalFormatting sqref="Z28:Z30"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Z37:Z39">
    <cfRule type="duplicateValues" dxfId="14" priority="1"/>
    <cfRule type="duplicateValues" dxfId="13" priority="2"/>
    <cfRule type="duplicateValues" dxfId="12" priority="3"/>
    <cfRule type="duplicateValues" dxfId="11" priority="4"/>
    <cfRule type="duplicateValues" dxfId="10" priority="5"/>
  </conditionalFormatting>
  <conditionalFormatting sqref="Z40:Z42">
    <cfRule type="duplicateValues" dxfId="9" priority="11"/>
    <cfRule type="duplicateValues" dxfId="8" priority="12"/>
    <cfRule type="duplicateValues" dxfId="7" priority="13"/>
    <cfRule type="duplicateValues" dxfId="6" priority="14"/>
    <cfRule type="duplicateValues" dxfId="5" priority="15"/>
  </conditionalFormatting>
  <conditionalFormatting sqref="Z43:Z45">
    <cfRule type="duplicateValues" dxfId="4" priority="6"/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16" sqref="C16"/>
    </sheetView>
  </sheetViews>
  <sheetFormatPr defaultColWidth="9" defaultRowHeight="13.5"/>
  <cols>
    <col min="1" max="1" width="9" customWidth="1"/>
    <col min="3" max="3" width="34" customWidth="1"/>
  </cols>
  <sheetData>
    <row r="1" spans="1:3">
      <c r="A1" s="38" t="s">
        <v>3</v>
      </c>
      <c r="B1" s="38" t="s">
        <v>121</v>
      </c>
    </row>
    <row r="2" spans="1:3">
      <c r="A2" s="38" t="s">
        <v>122</v>
      </c>
      <c r="B2" s="38" t="s">
        <v>90</v>
      </c>
      <c r="C2" s="38" t="s">
        <v>123</v>
      </c>
    </row>
    <row r="3" spans="1:3">
      <c r="B3" s="38" t="s">
        <v>95</v>
      </c>
      <c r="C3" s="38" t="s">
        <v>124</v>
      </c>
    </row>
    <row r="4" spans="1:3">
      <c r="B4" s="38" t="s">
        <v>125</v>
      </c>
      <c r="C4" s="38" t="s">
        <v>126</v>
      </c>
    </row>
    <row r="5" spans="1:3">
      <c r="B5" s="38" t="s">
        <v>127</v>
      </c>
      <c r="C5" s="38" t="s">
        <v>128</v>
      </c>
    </row>
    <row r="6" spans="1:3">
      <c r="B6" s="38" t="s">
        <v>129</v>
      </c>
      <c r="C6" s="38" t="s">
        <v>130</v>
      </c>
    </row>
    <row r="7" spans="1:3">
      <c r="A7" s="38" t="s">
        <v>131</v>
      </c>
      <c r="B7" s="38" t="s">
        <v>132</v>
      </c>
    </row>
    <row r="8" spans="1:3">
      <c r="B8" s="38" t="s">
        <v>133</v>
      </c>
    </row>
    <row r="9" spans="1:3">
      <c r="B9" s="38" t="s">
        <v>104</v>
      </c>
      <c r="C9" s="38"/>
    </row>
    <row r="10" spans="1:3">
      <c r="B10" s="38" t="s">
        <v>105</v>
      </c>
    </row>
    <row r="11" spans="1:3">
      <c r="B11" s="38" t="s">
        <v>108</v>
      </c>
    </row>
    <row r="12" spans="1:3">
      <c r="A12" s="38" t="s">
        <v>134</v>
      </c>
      <c r="B12" s="38" t="s">
        <v>135</v>
      </c>
    </row>
    <row r="13" spans="1:3">
      <c r="B13" s="38" t="s">
        <v>114</v>
      </c>
      <c r="C13" s="38" t="s">
        <v>136</v>
      </c>
    </row>
    <row r="14" spans="1:3">
      <c r="B14" s="38" t="s">
        <v>115</v>
      </c>
      <c r="C14" s="38" t="s">
        <v>137</v>
      </c>
    </row>
    <row r="15" spans="1:3">
      <c r="B15" s="38" t="s">
        <v>116</v>
      </c>
      <c r="C15" s="38" t="s">
        <v>138</v>
      </c>
    </row>
    <row r="16" spans="1:3">
      <c r="B16" s="38" t="s">
        <v>117</v>
      </c>
    </row>
  </sheetData>
  <phoneticPr fontId="10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49"/>
  <sheetViews>
    <sheetView topLeftCell="A13" workbookViewId="0">
      <selection activeCell="I39" sqref="I39:L49"/>
    </sheetView>
  </sheetViews>
  <sheetFormatPr defaultColWidth="9" defaultRowHeight="13.5"/>
  <cols>
    <col min="1" max="1" width="7.5" customWidth="1"/>
    <col min="2" max="2" width="26.25" customWidth="1"/>
    <col min="3" max="3" width="7.5" customWidth="1"/>
    <col min="4" max="4" width="4.75" customWidth="1"/>
    <col min="5" max="5" width="8" customWidth="1"/>
    <col min="6" max="7" width="8.5" customWidth="1"/>
    <col min="8" max="8" width="8" customWidth="1"/>
    <col min="9" max="9" width="8.5" customWidth="1"/>
    <col min="10" max="10" width="9.625" customWidth="1"/>
    <col min="11" max="11" width="8" customWidth="1"/>
    <col min="12" max="13" width="8.5" customWidth="1"/>
    <col min="14" max="14" width="5.875" customWidth="1"/>
    <col min="15" max="15" width="14.125" customWidth="1"/>
    <col min="16" max="17" width="11.375" customWidth="1"/>
    <col min="18" max="18" width="8" style="4" customWidth="1"/>
    <col min="19" max="19" width="8.5" customWidth="1"/>
    <col min="20" max="20" width="10.5" style="5" customWidth="1"/>
    <col min="21" max="21" width="11.25" style="5" customWidth="1"/>
    <col min="22" max="22" width="9.375" customWidth="1"/>
    <col min="23" max="23" width="14.75" customWidth="1"/>
    <col min="24" max="24" width="13.5" customWidth="1"/>
    <col min="25" max="25" width="14.5" customWidth="1"/>
    <col min="26" max="27" width="11" customWidth="1"/>
    <col min="28" max="28" width="11.375" customWidth="1"/>
    <col min="29" max="29" width="7.625" customWidth="1"/>
    <col min="30" max="30" width="12.375" customWidth="1"/>
    <col min="31" max="31" width="7.625" customWidth="1"/>
    <col min="32" max="32" width="9.625" customWidth="1"/>
    <col min="33" max="33" width="11.625" customWidth="1"/>
    <col min="34" max="34" width="8" customWidth="1"/>
    <col min="35" max="37" width="9.625" customWidth="1"/>
    <col min="38" max="38" width="49.875" style="6" customWidth="1"/>
  </cols>
  <sheetData>
    <row r="1" spans="1:39" ht="36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10</v>
      </c>
      <c r="J1" s="7" t="s">
        <v>11</v>
      </c>
      <c r="K1" s="7" t="s">
        <v>12</v>
      </c>
      <c r="L1" s="8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5" t="s">
        <v>20</v>
      </c>
      <c r="T1" s="14" t="s">
        <v>21</v>
      </c>
      <c r="U1" s="16" t="s">
        <v>22</v>
      </c>
      <c r="V1" s="16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24" t="s">
        <v>28</v>
      </c>
      <c r="AB1" s="24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6" t="s">
        <v>34</v>
      </c>
      <c r="AH1" s="30" t="s">
        <v>139</v>
      </c>
      <c r="AI1" s="30" t="s">
        <v>39</v>
      </c>
      <c r="AJ1" s="31" t="s">
        <v>40</v>
      </c>
      <c r="AK1" s="31" t="s">
        <v>41</v>
      </c>
      <c r="AL1" s="31" t="s">
        <v>42</v>
      </c>
      <c r="AM1" s="32" t="s">
        <v>44</v>
      </c>
    </row>
    <row r="2" spans="1:39" ht="24">
      <c r="A2" s="7" t="s">
        <v>0</v>
      </c>
      <c r="B2" s="7" t="s">
        <v>1</v>
      </c>
      <c r="C2" s="7" t="s">
        <v>2</v>
      </c>
      <c r="D2" s="8" t="s">
        <v>3</v>
      </c>
      <c r="E2" s="7" t="s">
        <v>4</v>
      </c>
      <c r="F2" s="7" t="s">
        <v>5</v>
      </c>
      <c r="G2" s="7" t="s">
        <v>6</v>
      </c>
      <c r="H2" s="7" t="s">
        <v>10</v>
      </c>
      <c r="I2" s="7" t="s">
        <v>11</v>
      </c>
      <c r="J2" s="7" t="s">
        <v>12</v>
      </c>
      <c r="K2" s="8" t="s">
        <v>13</v>
      </c>
      <c r="L2" s="14" t="s">
        <v>14</v>
      </c>
      <c r="M2" s="14" t="s">
        <v>15</v>
      </c>
      <c r="N2" s="14" t="s">
        <v>16</v>
      </c>
      <c r="O2" s="14" t="s">
        <v>17</v>
      </c>
      <c r="P2" s="14" t="s">
        <v>18</v>
      </c>
      <c r="Q2" s="14" t="s">
        <v>19</v>
      </c>
      <c r="R2" s="15" t="s">
        <v>20</v>
      </c>
      <c r="S2" s="14" t="s">
        <v>21</v>
      </c>
      <c r="T2" s="16" t="s">
        <v>22</v>
      </c>
      <c r="U2" s="16" t="s">
        <v>23</v>
      </c>
      <c r="V2" s="17" t="s">
        <v>24</v>
      </c>
      <c r="W2" s="17" t="s">
        <v>25</v>
      </c>
      <c r="X2" s="17" t="s">
        <v>26</v>
      </c>
      <c r="Y2" s="17" t="s">
        <v>27</v>
      </c>
      <c r="Z2" s="24" t="s">
        <v>28</v>
      </c>
      <c r="AA2" s="24" t="s">
        <v>29</v>
      </c>
      <c r="AB2" s="25" t="s">
        <v>30</v>
      </c>
      <c r="AC2" s="25" t="s">
        <v>31</v>
      </c>
      <c r="AD2" s="25" t="s">
        <v>32</v>
      </c>
      <c r="AE2" s="25" t="s">
        <v>33</v>
      </c>
      <c r="AF2" s="26" t="s">
        <v>34</v>
      </c>
      <c r="AG2" s="30" t="s">
        <v>139</v>
      </c>
      <c r="AH2" s="30" t="s">
        <v>39</v>
      </c>
      <c r="AI2" s="31" t="s">
        <v>40</v>
      </c>
      <c r="AJ2" s="31" t="s">
        <v>41</v>
      </c>
      <c r="AK2" s="31" t="s">
        <v>42</v>
      </c>
      <c r="AL2" s="32" t="s">
        <v>44</v>
      </c>
    </row>
    <row r="3" spans="1:39">
      <c r="A3" s="7"/>
      <c r="B3" s="7"/>
      <c r="C3" s="7"/>
      <c r="D3" s="8"/>
      <c r="E3" s="7"/>
      <c r="F3" s="7"/>
      <c r="G3" s="7"/>
      <c r="H3" s="7"/>
      <c r="I3" s="7"/>
      <c r="J3" s="7"/>
      <c r="K3" s="8"/>
      <c r="L3" s="14"/>
      <c r="M3" s="14"/>
      <c r="N3" s="14"/>
      <c r="O3" s="14"/>
      <c r="P3" s="14"/>
      <c r="Q3" s="14"/>
      <c r="R3" s="15"/>
      <c r="S3" s="14"/>
      <c r="T3" s="16"/>
      <c r="U3" s="16"/>
      <c r="V3" s="17"/>
      <c r="W3" s="17"/>
      <c r="X3" s="17"/>
      <c r="Y3" s="17"/>
      <c r="Z3" s="24"/>
      <c r="AA3" s="24"/>
      <c r="AB3" s="25"/>
      <c r="AC3" s="25"/>
      <c r="AD3" s="25"/>
      <c r="AE3" s="25"/>
      <c r="AF3" s="27"/>
      <c r="AG3" s="33"/>
      <c r="AH3" s="33"/>
      <c r="AI3" s="33"/>
      <c r="AJ3" s="33"/>
      <c r="AK3" s="33"/>
      <c r="AL3" s="34"/>
    </row>
    <row r="4" spans="1:39" ht="14.25">
      <c r="A4" s="9" t="s">
        <v>85</v>
      </c>
      <c r="B4" s="9" t="s">
        <v>86</v>
      </c>
      <c r="C4" s="9" t="s">
        <v>86</v>
      </c>
      <c r="D4" s="9" t="s">
        <v>85</v>
      </c>
      <c r="E4" s="9" t="s">
        <v>85</v>
      </c>
      <c r="F4" s="9" t="s">
        <v>85</v>
      </c>
      <c r="G4" s="9" t="s">
        <v>85</v>
      </c>
      <c r="H4" s="9" t="s">
        <v>85</v>
      </c>
      <c r="I4" s="9" t="s">
        <v>85</v>
      </c>
      <c r="J4" s="9" t="s">
        <v>85</v>
      </c>
      <c r="K4" s="9" t="s">
        <v>85</v>
      </c>
      <c r="L4" s="9" t="s">
        <v>85</v>
      </c>
      <c r="M4" s="9" t="s">
        <v>85</v>
      </c>
      <c r="N4" s="9" t="s">
        <v>85</v>
      </c>
      <c r="O4" s="9" t="s">
        <v>85</v>
      </c>
      <c r="P4" s="9" t="s">
        <v>85</v>
      </c>
      <c r="Q4" s="9" t="s">
        <v>85</v>
      </c>
      <c r="R4" s="18" t="s">
        <v>85</v>
      </c>
      <c r="S4" s="9" t="s">
        <v>85</v>
      </c>
      <c r="T4" s="19" t="s">
        <v>87</v>
      </c>
      <c r="U4" s="19" t="s">
        <v>87</v>
      </c>
      <c r="V4" s="9" t="s">
        <v>85</v>
      </c>
      <c r="W4" s="9" t="s">
        <v>85</v>
      </c>
      <c r="X4" s="9" t="s">
        <v>85</v>
      </c>
      <c r="Y4" s="9" t="s">
        <v>85</v>
      </c>
      <c r="Z4" s="28" t="s">
        <v>85</v>
      </c>
      <c r="AA4" s="28" t="s">
        <v>85</v>
      </c>
      <c r="AB4" s="25" t="s">
        <v>85</v>
      </c>
      <c r="AC4" s="28" t="s">
        <v>85</v>
      </c>
      <c r="AD4" s="28" t="s">
        <v>85</v>
      </c>
      <c r="AE4" s="28" t="s">
        <v>85</v>
      </c>
      <c r="AF4" s="29" t="s">
        <v>88</v>
      </c>
      <c r="AG4" s="1" t="s">
        <v>85</v>
      </c>
      <c r="AH4" s="1" t="s">
        <v>85</v>
      </c>
      <c r="AI4" s="1" t="s">
        <v>85</v>
      </c>
      <c r="AJ4" s="33" t="s">
        <v>88</v>
      </c>
      <c r="AK4" s="33" t="s">
        <v>85</v>
      </c>
      <c r="AL4" s="35" t="s">
        <v>86</v>
      </c>
    </row>
    <row r="5" spans="1:39" s="1" customFormat="1" ht="14.25">
      <c r="A5" s="10">
        <v>110001</v>
      </c>
      <c r="B5" s="11" t="s">
        <v>90</v>
      </c>
      <c r="C5" s="11">
        <f>A5</f>
        <v>110001</v>
      </c>
      <c r="D5" s="10">
        <v>1</v>
      </c>
      <c r="E5" s="10">
        <v>1</v>
      </c>
      <c r="F5" s="10">
        <f>IF(A6-A5=1,A6,0)</f>
        <v>110002</v>
      </c>
      <c r="G5" s="10">
        <v>1000</v>
      </c>
      <c r="H5" s="10">
        <v>1</v>
      </c>
      <c r="I5" s="10">
        <v>101</v>
      </c>
      <c r="J5" s="10">
        <v>1</v>
      </c>
      <c r="K5" s="10">
        <v>850</v>
      </c>
      <c r="L5" s="10">
        <v>2</v>
      </c>
      <c r="M5" s="10">
        <v>1</v>
      </c>
      <c r="N5" s="10">
        <v>1</v>
      </c>
      <c r="O5" s="10">
        <v>0</v>
      </c>
      <c r="P5" s="10">
        <v>1</v>
      </c>
      <c r="Q5" s="10">
        <v>2</v>
      </c>
      <c r="R5" s="10">
        <v>2</v>
      </c>
      <c r="S5" s="10">
        <v>100</v>
      </c>
      <c r="T5" s="10" t="s">
        <v>91</v>
      </c>
      <c r="U5" s="10">
        <v>3</v>
      </c>
      <c r="V5" s="10">
        <v>2</v>
      </c>
      <c r="W5" s="10">
        <v>10000</v>
      </c>
      <c r="X5" s="10">
        <v>80</v>
      </c>
      <c r="Y5" s="10">
        <v>10000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1</v>
      </c>
      <c r="AG5" s="36">
        <v>10009</v>
      </c>
      <c r="AH5" s="10">
        <v>2</v>
      </c>
      <c r="AI5" s="10">
        <v>115</v>
      </c>
      <c r="AJ5" s="10">
        <v>0</v>
      </c>
      <c r="AK5" s="10">
        <f t="shared" ref="AK5:AK7" si="0">IF(AJ5&gt;0,1000,0)</f>
        <v>0</v>
      </c>
      <c r="AL5" s="37" t="s">
        <v>92</v>
      </c>
    </row>
    <row r="6" spans="1:39" s="1" customFormat="1" ht="14.25">
      <c r="A6" s="10">
        <v>110002</v>
      </c>
      <c r="B6" s="11" t="s">
        <v>90</v>
      </c>
      <c r="C6" s="11">
        <f>C5</f>
        <v>110001</v>
      </c>
      <c r="D6" s="10">
        <v>1</v>
      </c>
      <c r="E6" s="10">
        <v>2</v>
      </c>
      <c r="F6" s="10">
        <f t="shared" ref="F6:F49" si="1">IF(A7-A6=1,A7,0)</f>
        <v>110003</v>
      </c>
      <c r="G6" s="10">
        <v>2000</v>
      </c>
      <c r="H6" s="10">
        <v>5</v>
      </c>
      <c r="I6" s="10">
        <v>101</v>
      </c>
      <c r="J6" s="10">
        <v>1</v>
      </c>
      <c r="K6" s="10">
        <v>850</v>
      </c>
      <c r="L6" s="10">
        <v>2</v>
      </c>
      <c r="M6" s="10">
        <v>1</v>
      </c>
      <c r="N6" s="10">
        <v>1</v>
      </c>
      <c r="O6" s="10">
        <v>0</v>
      </c>
      <c r="P6" s="10">
        <v>1</v>
      </c>
      <c r="Q6" s="10">
        <v>2</v>
      </c>
      <c r="R6" s="10">
        <v>2</v>
      </c>
      <c r="S6" s="10">
        <v>100</v>
      </c>
      <c r="T6" s="10" t="s">
        <v>91</v>
      </c>
      <c r="U6" s="10">
        <v>3</v>
      </c>
      <c r="V6" s="10">
        <v>2</v>
      </c>
      <c r="W6" s="10">
        <v>10200</v>
      </c>
      <c r="X6" s="10">
        <v>160</v>
      </c>
      <c r="Y6" s="10">
        <v>10000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1</v>
      </c>
      <c r="AG6" s="36">
        <v>10009</v>
      </c>
      <c r="AH6" s="10">
        <v>2</v>
      </c>
      <c r="AI6" s="10">
        <v>115</v>
      </c>
      <c r="AJ6" s="10">
        <v>0</v>
      </c>
      <c r="AK6" s="10">
        <f t="shared" si="0"/>
        <v>0</v>
      </c>
      <c r="AL6" s="37" t="s">
        <v>93</v>
      </c>
    </row>
    <row r="7" spans="1:39" s="1" customFormat="1" ht="14.25">
      <c r="A7" s="10">
        <v>110003</v>
      </c>
      <c r="B7" s="11" t="s">
        <v>90</v>
      </c>
      <c r="C7" s="11">
        <f>C6</f>
        <v>110001</v>
      </c>
      <c r="D7" s="10">
        <v>1</v>
      </c>
      <c r="E7" s="10">
        <v>3</v>
      </c>
      <c r="F7" s="10">
        <f t="shared" si="1"/>
        <v>0</v>
      </c>
      <c r="G7" s="10">
        <v>3000</v>
      </c>
      <c r="H7" s="10">
        <v>10</v>
      </c>
      <c r="I7" s="10">
        <v>101</v>
      </c>
      <c r="J7" s="10">
        <v>1</v>
      </c>
      <c r="K7" s="10">
        <v>850</v>
      </c>
      <c r="L7" s="10">
        <v>2</v>
      </c>
      <c r="M7" s="10">
        <v>1</v>
      </c>
      <c r="N7" s="10">
        <v>1</v>
      </c>
      <c r="O7" s="10">
        <v>0</v>
      </c>
      <c r="P7" s="10">
        <v>1</v>
      </c>
      <c r="Q7" s="10">
        <v>2</v>
      </c>
      <c r="R7" s="10">
        <v>2</v>
      </c>
      <c r="S7" s="10">
        <v>100</v>
      </c>
      <c r="T7" s="10" t="s">
        <v>91</v>
      </c>
      <c r="U7" s="10">
        <v>3</v>
      </c>
      <c r="V7" s="10">
        <v>2</v>
      </c>
      <c r="W7" s="10">
        <v>10400</v>
      </c>
      <c r="X7" s="10">
        <v>240</v>
      </c>
      <c r="Y7" s="10">
        <v>10000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1</v>
      </c>
      <c r="AG7" s="36">
        <v>10009</v>
      </c>
      <c r="AH7" s="10">
        <v>2</v>
      </c>
      <c r="AI7" s="10">
        <v>115</v>
      </c>
      <c r="AJ7" s="10">
        <v>0</v>
      </c>
      <c r="AK7" s="10">
        <f t="shared" si="0"/>
        <v>0</v>
      </c>
      <c r="AL7" s="37" t="s">
        <v>94</v>
      </c>
    </row>
    <row r="8" spans="1:39" s="1" customFormat="1" ht="14.25">
      <c r="A8" s="10">
        <f>A5+10000</f>
        <v>120001</v>
      </c>
      <c r="B8" s="11" t="s">
        <v>95</v>
      </c>
      <c r="C8" s="11">
        <f t="shared" ref="C8" si="2">A8</f>
        <v>120001</v>
      </c>
      <c r="D8" s="10">
        <v>1</v>
      </c>
      <c r="E8" s="10">
        <f>E5</f>
        <v>1</v>
      </c>
      <c r="F8" s="10">
        <f t="shared" si="1"/>
        <v>120002</v>
      </c>
      <c r="G8" s="10">
        <f>G5</f>
        <v>1000</v>
      </c>
      <c r="H8" s="10">
        <v>15</v>
      </c>
      <c r="I8" s="10">
        <f>I5+1</f>
        <v>102</v>
      </c>
      <c r="J8" s="10">
        <v>1</v>
      </c>
      <c r="K8" s="10">
        <v>850</v>
      </c>
      <c r="L8" s="10">
        <v>2</v>
      </c>
      <c r="M8" s="10">
        <v>1</v>
      </c>
      <c r="N8" s="10">
        <v>1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36"/>
      <c r="AH8" s="10"/>
      <c r="AI8" s="10"/>
      <c r="AJ8" s="10"/>
      <c r="AK8" s="10"/>
      <c r="AL8" s="37"/>
    </row>
    <row r="9" spans="1:39" s="1" customFormat="1" ht="14.25">
      <c r="A9" s="10">
        <f t="shared" ref="A9:A19" si="3">A6+10000</f>
        <v>120002</v>
      </c>
      <c r="B9" s="11" t="s">
        <v>95</v>
      </c>
      <c r="C9" s="11">
        <f t="shared" ref="C9:C10" si="4">C8</f>
        <v>120001</v>
      </c>
      <c r="D9" s="10">
        <v>1</v>
      </c>
      <c r="E9" s="10">
        <f t="shared" ref="E9:E19" si="5">E6</f>
        <v>2</v>
      </c>
      <c r="F9" s="10">
        <f t="shared" si="1"/>
        <v>120003</v>
      </c>
      <c r="G9" s="10">
        <f t="shared" ref="G9:G49" si="6">G6</f>
        <v>2000</v>
      </c>
      <c r="H9" s="10">
        <v>20</v>
      </c>
      <c r="I9" s="10">
        <f t="shared" ref="I9:I19" si="7">I6+1</f>
        <v>102</v>
      </c>
      <c r="J9" s="10">
        <v>1</v>
      </c>
      <c r="K9" s="10">
        <v>850</v>
      </c>
      <c r="L9" s="10">
        <v>2</v>
      </c>
      <c r="M9" s="10">
        <v>1</v>
      </c>
      <c r="N9" s="10">
        <v>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36"/>
      <c r="AH9" s="10"/>
      <c r="AI9" s="10"/>
      <c r="AJ9" s="10"/>
      <c r="AK9" s="10"/>
      <c r="AL9" s="37"/>
    </row>
    <row r="10" spans="1:39" s="1" customFormat="1" ht="14.25">
      <c r="A10" s="10">
        <f t="shared" si="3"/>
        <v>120003</v>
      </c>
      <c r="B10" s="11" t="s">
        <v>95</v>
      </c>
      <c r="C10" s="11">
        <f t="shared" si="4"/>
        <v>120001</v>
      </c>
      <c r="D10" s="10">
        <v>1</v>
      </c>
      <c r="E10" s="10">
        <f t="shared" si="5"/>
        <v>3</v>
      </c>
      <c r="F10" s="10">
        <f t="shared" si="1"/>
        <v>0</v>
      </c>
      <c r="G10" s="10">
        <f t="shared" si="6"/>
        <v>3000</v>
      </c>
      <c r="H10" s="10">
        <v>25</v>
      </c>
      <c r="I10" s="10">
        <f t="shared" si="7"/>
        <v>102</v>
      </c>
      <c r="J10" s="10">
        <v>1</v>
      </c>
      <c r="K10" s="10">
        <v>850</v>
      </c>
      <c r="L10" s="10">
        <v>2</v>
      </c>
      <c r="M10" s="10">
        <v>1</v>
      </c>
      <c r="N10" s="10">
        <v>1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36"/>
      <c r="AH10" s="10"/>
      <c r="AI10" s="10"/>
      <c r="AJ10" s="10"/>
      <c r="AK10" s="10"/>
      <c r="AL10" s="37"/>
    </row>
    <row r="11" spans="1:39" s="1" customFormat="1" ht="14.25">
      <c r="A11" s="10">
        <f t="shared" si="3"/>
        <v>130001</v>
      </c>
      <c r="B11" s="11" t="s">
        <v>96</v>
      </c>
      <c r="C11" s="11">
        <f t="shared" ref="C11" si="8">A11</f>
        <v>130001</v>
      </c>
      <c r="D11" s="10">
        <v>1</v>
      </c>
      <c r="E11" s="10">
        <f t="shared" si="5"/>
        <v>1</v>
      </c>
      <c r="F11" s="10">
        <f t="shared" si="1"/>
        <v>130002</v>
      </c>
      <c r="G11" s="10">
        <f t="shared" si="6"/>
        <v>1000</v>
      </c>
      <c r="H11" s="10">
        <v>30</v>
      </c>
      <c r="I11" s="10">
        <f t="shared" si="7"/>
        <v>103</v>
      </c>
      <c r="J11" s="10">
        <v>1</v>
      </c>
      <c r="K11" s="10">
        <v>850</v>
      </c>
      <c r="L11" s="10">
        <v>2</v>
      </c>
      <c r="M11" s="10">
        <v>2</v>
      </c>
      <c r="N11" s="10">
        <v>4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36"/>
      <c r="AH11" s="10"/>
      <c r="AI11" s="10"/>
      <c r="AJ11" s="10"/>
      <c r="AK11" s="10"/>
      <c r="AL11" s="37"/>
    </row>
    <row r="12" spans="1:39" s="1" customFormat="1" ht="14.25">
      <c r="A12" s="10">
        <f t="shared" si="3"/>
        <v>130002</v>
      </c>
      <c r="B12" s="11" t="s">
        <v>96</v>
      </c>
      <c r="C12" s="11">
        <f t="shared" ref="C12:C13" si="9">C11</f>
        <v>130001</v>
      </c>
      <c r="D12" s="10">
        <v>1</v>
      </c>
      <c r="E12" s="10">
        <f t="shared" si="5"/>
        <v>2</v>
      </c>
      <c r="F12" s="10">
        <f t="shared" si="1"/>
        <v>130003</v>
      </c>
      <c r="G12" s="10">
        <f t="shared" si="6"/>
        <v>2000</v>
      </c>
      <c r="H12" s="10">
        <v>35</v>
      </c>
      <c r="I12" s="10">
        <f t="shared" si="7"/>
        <v>103</v>
      </c>
      <c r="J12" s="10">
        <v>1</v>
      </c>
      <c r="K12" s="10">
        <v>850</v>
      </c>
      <c r="L12" s="10">
        <v>2</v>
      </c>
      <c r="M12" s="10">
        <v>2</v>
      </c>
      <c r="N12" s="10">
        <v>4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36"/>
      <c r="AH12" s="10"/>
      <c r="AI12" s="10"/>
      <c r="AJ12" s="10"/>
      <c r="AK12" s="10"/>
      <c r="AL12" s="37"/>
    </row>
    <row r="13" spans="1:39" s="1" customFormat="1" ht="14.25">
      <c r="A13" s="10">
        <f t="shared" si="3"/>
        <v>130003</v>
      </c>
      <c r="B13" s="11" t="s">
        <v>96</v>
      </c>
      <c r="C13" s="11">
        <f t="shared" si="9"/>
        <v>130001</v>
      </c>
      <c r="D13" s="10">
        <v>1</v>
      </c>
      <c r="E13" s="10">
        <f t="shared" si="5"/>
        <v>3</v>
      </c>
      <c r="F13" s="10">
        <f t="shared" si="1"/>
        <v>0</v>
      </c>
      <c r="G13" s="10">
        <f t="shared" si="6"/>
        <v>3000</v>
      </c>
      <c r="H13" s="10">
        <v>40</v>
      </c>
      <c r="I13" s="10">
        <f t="shared" si="7"/>
        <v>103</v>
      </c>
      <c r="J13" s="10">
        <v>1</v>
      </c>
      <c r="K13" s="10">
        <v>850</v>
      </c>
      <c r="L13" s="10">
        <v>2</v>
      </c>
      <c r="M13" s="10">
        <v>2</v>
      </c>
      <c r="N13" s="10">
        <v>4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36"/>
      <c r="AH13" s="10"/>
      <c r="AI13" s="10"/>
      <c r="AJ13" s="10"/>
      <c r="AK13" s="10"/>
      <c r="AL13" s="37"/>
    </row>
    <row r="14" spans="1:39" s="1" customFormat="1" ht="14.25">
      <c r="A14" s="10">
        <f t="shared" si="3"/>
        <v>140001</v>
      </c>
      <c r="B14" s="11" t="s">
        <v>97</v>
      </c>
      <c r="C14" s="11">
        <f t="shared" ref="C14" si="10">A14</f>
        <v>140001</v>
      </c>
      <c r="D14" s="10">
        <v>1</v>
      </c>
      <c r="E14" s="10">
        <f t="shared" si="5"/>
        <v>1</v>
      </c>
      <c r="F14" s="10">
        <f t="shared" si="1"/>
        <v>140002</v>
      </c>
      <c r="G14" s="10">
        <f t="shared" si="6"/>
        <v>1000</v>
      </c>
      <c r="H14" s="10">
        <v>45</v>
      </c>
      <c r="I14" s="10">
        <f t="shared" si="7"/>
        <v>104</v>
      </c>
      <c r="J14" s="10">
        <v>1</v>
      </c>
      <c r="K14" s="10">
        <v>850</v>
      </c>
      <c r="L14" s="10">
        <v>2</v>
      </c>
      <c r="M14" s="10">
        <v>3</v>
      </c>
      <c r="N14" s="10">
        <v>2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36"/>
      <c r="AH14" s="10"/>
      <c r="AI14" s="10"/>
      <c r="AJ14" s="10"/>
      <c r="AK14" s="10"/>
      <c r="AL14" s="37"/>
    </row>
    <row r="15" spans="1:39" s="1" customFormat="1" ht="14.25">
      <c r="A15" s="10">
        <f t="shared" si="3"/>
        <v>140002</v>
      </c>
      <c r="B15" s="11" t="s">
        <v>97</v>
      </c>
      <c r="C15" s="11">
        <f t="shared" ref="C15:C16" si="11">C14</f>
        <v>140001</v>
      </c>
      <c r="D15" s="10">
        <v>1</v>
      </c>
      <c r="E15" s="10">
        <f t="shared" si="5"/>
        <v>2</v>
      </c>
      <c r="F15" s="10">
        <f t="shared" si="1"/>
        <v>140003</v>
      </c>
      <c r="G15" s="10">
        <f t="shared" si="6"/>
        <v>2000</v>
      </c>
      <c r="H15" s="10">
        <v>50</v>
      </c>
      <c r="I15" s="10">
        <f t="shared" si="7"/>
        <v>104</v>
      </c>
      <c r="J15" s="10">
        <v>1</v>
      </c>
      <c r="K15" s="10">
        <v>850</v>
      </c>
      <c r="L15" s="10">
        <v>2</v>
      </c>
      <c r="M15" s="10">
        <v>3</v>
      </c>
      <c r="N15" s="10">
        <v>2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36"/>
      <c r="AH15" s="10"/>
      <c r="AI15" s="10"/>
      <c r="AJ15" s="10"/>
      <c r="AK15" s="10"/>
      <c r="AL15" s="37"/>
    </row>
    <row r="16" spans="1:39" s="1" customFormat="1" ht="14.25">
      <c r="A16" s="10">
        <f t="shared" si="3"/>
        <v>140003</v>
      </c>
      <c r="B16" s="11" t="s">
        <v>97</v>
      </c>
      <c r="C16" s="11">
        <f t="shared" si="11"/>
        <v>140001</v>
      </c>
      <c r="D16" s="10">
        <v>1</v>
      </c>
      <c r="E16" s="10">
        <f t="shared" si="5"/>
        <v>3</v>
      </c>
      <c r="F16" s="10">
        <f t="shared" si="1"/>
        <v>0</v>
      </c>
      <c r="G16" s="10">
        <f t="shared" si="6"/>
        <v>3000</v>
      </c>
      <c r="H16" s="10">
        <v>55</v>
      </c>
      <c r="I16" s="10">
        <f t="shared" si="7"/>
        <v>104</v>
      </c>
      <c r="J16" s="10">
        <v>1</v>
      </c>
      <c r="K16" s="10">
        <v>850</v>
      </c>
      <c r="L16" s="10">
        <v>2</v>
      </c>
      <c r="M16" s="10">
        <v>3</v>
      </c>
      <c r="N16" s="10">
        <v>2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36"/>
      <c r="AH16" s="10"/>
      <c r="AI16" s="10"/>
      <c r="AJ16" s="10"/>
      <c r="AK16" s="10"/>
      <c r="AL16" s="37"/>
    </row>
    <row r="17" spans="1:38" s="1" customFormat="1" ht="14.25">
      <c r="A17" s="10">
        <f t="shared" si="3"/>
        <v>150001</v>
      </c>
      <c r="B17" s="11" t="s">
        <v>98</v>
      </c>
      <c r="C17" s="11">
        <f t="shared" ref="C17" si="12">A17</f>
        <v>150001</v>
      </c>
      <c r="D17" s="10">
        <v>1</v>
      </c>
      <c r="E17" s="10">
        <f t="shared" si="5"/>
        <v>1</v>
      </c>
      <c r="F17" s="10">
        <f t="shared" si="1"/>
        <v>150002</v>
      </c>
      <c r="G17" s="10">
        <f t="shared" si="6"/>
        <v>1000</v>
      </c>
      <c r="H17" s="10">
        <v>60</v>
      </c>
      <c r="I17" s="10">
        <f t="shared" si="7"/>
        <v>105</v>
      </c>
      <c r="J17" s="10">
        <v>1</v>
      </c>
      <c r="K17" s="10">
        <v>850</v>
      </c>
      <c r="L17" s="10">
        <v>2</v>
      </c>
      <c r="M17" s="10">
        <v>1</v>
      </c>
      <c r="N17" s="10">
        <v>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36"/>
      <c r="AH17" s="10"/>
      <c r="AI17" s="10"/>
      <c r="AJ17" s="10"/>
      <c r="AK17" s="10"/>
      <c r="AL17" s="37"/>
    </row>
    <row r="18" spans="1:38" s="1" customFormat="1" ht="14.25">
      <c r="A18" s="10">
        <f t="shared" si="3"/>
        <v>150002</v>
      </c>
      <c r="B18" s="11" t="s">
        <v>98</v>
      </c>
      <c r="C18" s="11">
        <f t="shared" ref="C18:C19" si="13">C17</f>
        <v>150001</v>
      </c>
      <c r="D18" s="10">
        <v>1</v>
      </c>
      <c r="E18" s="10">
        <f t="shared" si="5"/>
        <v>2</v>
      </c>
      <c r="F18" s="10">
        <f t="shared" si="1"/>
        <v>150003</v>
      </c>
      <c r="G18" s="10">
        <f t="shared" si="6"/>
        <v>2000</v>
      </c>
      <c r="H18" s="10">
        <v>65</v>
      </c>
      <c r="I18" s="10">
        <f t="shared" si="7"/>
        <v>105</v>
      </c>
      <c r="J18" s="10">
        <v>1</v>
      </c>
      <c r="K18" s="10">
        <v>850</v>
      </c>
      <c r="L18" s="10">
        <v>2</v>
      </c>
      <c r="M18" s="10">
        <v>1</v>
      </c>
      <c r="N18" s="10">
        <v>1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36"/>
      <c r="AH18" s="10"/>
      <c r="AI18" s="10"/>
      <c r="AJ18" s="10"/>
      <c r="AK18" s="10"/>
      <c r="AL18" s="37"/>
    </row>
    <row r="19" spans="1:38" s="1" customFormat="1" ht="14.25">
      <c r="A19" s="10">
        <f t="shared" si="3"/>
        <v>150003</v>
      </c>
      <c r="B19" s="11" t="s">
        <v>98</v>
      </c>
      <c r="C19" s="11">
        <f t="shared" si="13"/>
        <v>150001</v>
      </c>
      <c r="D19" s="10">
        <v>1</v>
      </c>
      <c r="E19" s="10">
        <f t="shared" si="5"/>
        <v>3</v>
      </c>
      <c r="F19" s="10">
        <f t="shared" si="1"/>
        <v>0</v>
      </c>
      <c r="G19" s="10">
        <f t="shared" si="6"/>
        <v>3000</v>
      </c>
      <c r="H19" s="10">
        <v>70</v>
      </c>
      <c r="I19" s="10">
        <f t="shared" si="7"/>
        <v>105</v>
      </c>
      <c r="J19" s="10">
        <v>1</v>
      </c>
      <c r="K19" s="10">
        <v>850</v>
      </c>
      <c r="L19" s="10">
        <v>2</v>
      </c>
      <c r="M19" s="10">
        <v>1</v>
      </c>
      <c r="N19" s="10">
        <v>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36"/>
      <c r="AH19" s="10"/>
      <c r="AI19" s="10"/>
      <c r="AJ19" s="10"/>
      <c r="AK19" s="10"/>
      <c r="AL19" s="37"/>
    </row>
    <row r="20" spans="1:38" s="2" customFormat="1" ht="14.25">
      <c r="A20" s="2">
        <v>210001</v>
      </c>
      <c r="B20" s="12" t="s">
        <v>99</v>
      </c>
      <c r="C20" s="11">
        <f>A20</f>
        <v>210001</v>
      </c>
      <c r="D20" s="2">
        <f>D5+1</f>
        <v>2</v>
      </c>
      <c r="E20" s="2">
        <f>E5</f>
        <v>1</v>
      </c>
      <c r="F20" s="10">
        <f t="shared" si="1"/>
        <v>210002</v>
      </c>
      <c r="G20" s="10">
        <f t="shared" si="6"/>
        <v>1000</v>
      </c>
      <c r="H20" s="10">
        <v>1</v>
      </c>
      <c r="I20" s="2">
        <v>201</v>
      </c>
      <c r="J20" s="2">
        <v>2</v>
      </c>
      <c r="K20" s="2">
        <v>1200</v>
      </c>
      <c r="L20" s="2">
        <v>2</v>
      </c>
      <c r="M20" s="2">
        <v>1</v>
      </c>
      <c r="N20" s="2">
        <v>0</v>
      </c>
      <c r="O20" s="2">
        <v>0</v>
      </c>
      <c r="P20" s="2">
        <v>0</v>
      </c>
      <c r="Q20" s="2">
        <v>5</v>
      </c>
      <c r="R20" s="20">
        <v>0</v>
      </c>
      <c r="S20" s="2">
        <v>100</v>
      </c>
      <c r="T20" s="10" t="s">
        <v>140</v>
      </c>
      <c r="U20" s="21">
        <v>3</v>
      </c>
      <c r="V20" s="2">
        <v>2</v>
      </c>
      <c r="W20" s="2">
        <v>11000</v>
      </c>
      <c r="X20" s="2">
        <v>100</v>
      </c>
      <c r="Y20" s="2">
        <v>10000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20001</v>
      </c>
      <c r="AH20" s="2">
        <v>3</v>
      </c>
      <c r="AI20" s="2">
        <v>480</v>
      </c>
      <c r="AJ20" s="10">
        <v>0</v>
      </c>
      <c r="AK20" s="10">
        <f t="shared" ref="AK20:AK22" si="14">IF(AJ20&gt;0,1000,0)</f>
        <v>0</v>
      </c>
      <c r="AL20" s="37" t="s">
        <v>100</v>
      </c>
    </row>
    <row r="21" spans="1:38" s="2" customFormat="1" ht="14.25">
      <c r="A21" s="2">
        <v>210002</v>
      </c>
      <c r="B21" s="12" t="s">
        <v>99</v>
      </c>
      <c r="C21" s="11">
        <f>C20</f>
        <v>210001</v>
      </c>
      <c r="D21" s="2">
        <f t="shared" ref="D21:D49" si="15">D6+1</f>
        <v>2</v>
      </c>
      <c r="E21" s="2">
        <f t="shared" ref="E21:E49" si="16">E6</f>
        <v>2</v>
      </c>
      <c r="F21" s="10">
        <f t="shared" si="1"/>
        <v>210003</v>
      </c>
      <c r="G21" s="10">
        <f t="shared" si="6"/>
        <v>2000</v>
      </c>
      <c r="H21" s="10">
        <v>5</v>
      </c>
      <c r="I21" s="2">
        <v>201</v>
      </c>
      <c r="J21" s="2">
        <v>2</v>
      </c>
      <c r="K21" s="2">
        <v>1200</v>
      </c>
      <c r="L21" s="2">
        <v>2</v>
      </c>
      <c r="M21" s="2">
        <v>1</v>
      </c>
      <c r="N21" s="2">
        <v>0</v>
      </c>
      <c r="O21" s="2">
        <v>0</v>
      </c>
      <c r="P21" s="2">
        <v>0</v>
      </c>
      <c r="Q21" s="2">
        <v>6</v>
      </c>
      <c r="R21" s="20">
        <v>0</v>
      </c>
      <c r="S21" s="2">
        <v>100</v>
      </c>
      <c r="T21" s="10" t="s">
        <v>140</v>
      </c>
      <c r="U21" s="21">
        <v>3</v>
      </c>
      <c r="V21" s="2">
        <v>2</v>
      </c>
      <c r="W21" s="2">
        <v>11400</v>
      </c>
      <c r="X21" s="2">
        <v>260</v>
      </c>
      <c r="Y21" s="2">
        <v>10000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20001</v>
      </c>
      <c r="AH21" s="2">
        <v>3</v>
      </c>
      <c r="AI21" s="2">
        <v>480</v>
      </c>
      <c r="AJ21" s="10">
        <v>0</v>
      </c>
      <c r="AK21" s="10">
        <f t="shared" si="14"/>
        <v>0</v>
      </c>
      <c r="AL21" s="37" t="s">
        <v>101</v>
      </c>
    </row>
    <row r="22" spans="1:38" s="2" customFormat="1" ht="14.25">
      <c r="A22" s="2">
        <v>210003</v>
      </c>
      <c r="B22" s="12" t="s">
        <v>99</v>
      </c>
      <c r="C22" s="11">
        <f>C21</f>
        <v>210001</v>
      </c>
      <c r="D22" s="2">
        <f t="shared" si="15"/>
        <v>2</v>
      </c>
      <c r="E22" s="2">
        <f t="shared" si="16"/>
        <v>3</v>
      </c>
      <c r="F22" s="10">
        <f t="shared" si="1"/>
        <v>0</v>
      </c>
      <c r="G22" s="10">
        <f t="shared" si="6"/>
        <v>3000</v>
      </c>
      <c r="H22" s="10">
        <v>10</v>
      </c>
      <c r="I22" s="2">
        <v>201</v>
      </c>
      <c r="J22" s="2">
        <v>2</v>
      </c>
      <c r="K22" s="2">
        <v>1200</v>
      </c>
      <c r="L22" s="2">
        <v>2</v>
      </c>
      <c r="M22" s="2">
        <v>1</v>
      </c>
      <c r="N22" s="2">
        <v>0</v>
      </c>
      <c r="O22" s="2">
        <v>0</v>
      </c>
      <c r="P22" s="2">
        <v>0</v>
      </c>
      <c r="Q22" s="2">
        <v>7</v>
      </c>
      <c r="R22" s="20">
        <v>0</v>
      </c>
      <c r="S22" s="2">
        <v>100</v>
      </c>
      <c r="T22" s="10" t="s">
        <v>140</v>
      </c>
      <c r="U22" s="21">
        <v>3</v>
      </c>
      <c r="V22" s="2">
        <v>2</v>
      </c>
      <c r="W22" s="2">
        <v>11800</v>
      </c>
      <c r="X22" s="2">
        <v>420</v>
      </c>
      <c r="Y22" s="2">
        <v>10000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20001</v>
      </c>
      <c r="AH22" s="2">
        <v>3</v>
      </c>
      <c r="AI22" s="2">
        <v>480</v>
      </c>
      <c r="AJ22" s="10">
        <v>0</v>
      </c>
      <c r="AK22" s="10">
        <f t="shared" si="14"/>
        <v>0</v>
      </c>
      <c r="AL22" s="37" t="s">
        <v>102</v>
      </c>
    </row>
    <row r="23" spans="1:38" s="2" customFormat="1" ht="14.25">
      <c r="A23" s="2">
        <f>A20+10000</f>
        <v>220001</v>
      </c>
      <c r="B23" s="12" t="s">
        <v>103</v>
      </c>
      <c r="C23" s="11">
        <f t="shared" ref="C23" si="17">A23</f>
        <v>220001</v>
      </c>
      <c r="D23" s="2">
        <f t="shared" si="15"/>
        <v>2</v>
      </c>
      <c r="E23" s="2">
        <f t="shared" si="16"/>
        <v>1</v>
      </c>
      <c r="F23" s="10">
        <f t="shared" si="1"/>
        <v>220002</v>
      </c>
      <c r="G23" s="10">
        <f t="shared" si="6"/>
        <v>1000</v>
      </c>
      <c r="H23" s="10">
        <v>15</v>
      </c>
      <c r="I23" s="2">
        <f>I20+1</f>
        <v>202</v>
      </c>
      <c r="J23" s="2">
        <v>2</v>
      </c>
      <c r="K23" s="2">
        <v>1200</v>
      </c>
      <c r="L23" s="2">
        <v>2</v>
      </c>
      <c r="R23" s="20"/>
      <c r="T23" s="10"/>
      <c r="U23" s="21"/>
      <c r="AJ23" s="10"/>
      <c r="AK23" s="10"/>
      <c r="AL23" s="37"/>
    </row>
    <row r="24" spans="1:38" s="2" customFormat="1" ht="14.25">
      <c r="A24" s="2">
        <f t="shared" ref="A24:A34" si="18">A21+10000</f>
        <v>220002</v>
      </c>
      <c r="B24" s="12" t="s">
        <v>103</v>
      </c>
      <c r="C24" s="11">
        <f t="shared" ref="C24:C25" si="19">C23</f>
        <v>220001</v>
      </c>
      <c r="D24" s="2">
        <f t="shared" si="15"/>
        <v>2</v>
      </c>
      <c r="E24" s="2">
        <f t="shared" si="16"/>
        <v>2</v>
      </c>
      <c r="F24" s="10">
        <f t="shared" si="1"/>
        <v>220003</v>
      </c>
      <c r="G24" s="10">
        <f t="shared" si="6"/>
        <v>2000</v>
      </c>
      <c r="H24" s="10">
        <v>20</v>
      </c>
      <c r="I24" s="2">
        <f t="shared" ref="I24:I34" si="20">I21+1</f>
        <v>202</v>
      </c>
      <c r="J24" s="2">
        <v>2</v>
      </c>
      <c r="K24" s="2">
        <v>1200</v>
      </c>
      <c r="L24" s="2">
        <v>2</v>
      </c>
      <c r="R24" s="20"/>
      <c r="T24" s="10"/>
      <c r="U24" s="21"/>
      <c r="AJ24" s="10"/>
      <c r="AK24" s="10"/>
      <c r="AL24" s="37"/>
    </row>
    <row r="25" spans="1:38" s="2" customFormat="1" ht="14.25">
      <c r="A25" s="2">
        <f t="shared" si="18"/>
        <v>220003</v>
      </c>
      <c r="B25" s="12" t="s">
        <v>103</v>
      </c>
      <c r="C25" s="11">
        <f t="shared" si="19"/>
        <v>220001</v>
      </c>
      <c r="D25" s="2">
        <f t="shared" si="15"/>
        <v>2</v>
      </c>
      <c r="E25" s="2">
        <f t="shared" si="16"/>
        <v>3</v>
      </c>
      <c r="F25" s="10">
        <f t="shared" si="1"/>
        <v>0</v>
      </c>
      <c r="G25" s="10">
        <f t="shared" si="6"/>
        <v>3000</v>
      </c>
      <c r="H25" s="10">
        <v>25</v>
      </c>
      <c r="I25" s="2">
        <f t="shared" si="20"/>
        <v>202</v>
      </c>
      <c r="J25" s="2">
        <v>2</v>
      </c>
      <c r="K25" s="2">
        <v>1200</v>
      </c>
      <c r="L25" s="2">
        <v>2</v>
      </c>
      <c r="R25" s="20"/>
      <c r="T25" s="10"/>
      <c r="U25" s="21"/>
      <c r="AJ25" s="10"/>
      <c r="AK25" s="10"/>
      <c r="AL25" s="37"/>
    </row>
    <row r="26" spans="1:38" s="2" customFormat="1" ht="14.25">
      <c r="A26" s="2">
        <f t="shared" si="18"/>
        <v>230001</v>
      </c>
      <c r="B26" s="12" t="s">
        <v>104</v>
      </c>
      <c r="C26" s="11">
        <f t="shared" ref="C26" si="21">A26</f>
        <v>230001</v>
      </c>
      <c r="D26" s="2">
        <f t="shared" si="15"/>
        <v>2</v>
      </c>
      <c r="E26" s="2">
        <f t="shared" si="16"/>
        <v>1</v>
      </c>
      <c r="F26" s="10">
        <f t="shared" si="1"/>
        <v>230002</v>
      </c>
      <c r="G26" s="10">
        <f t="shared" si="6"/>
        <v>1000</v>
      </c>
      <c r="H26" s="10">
        <v>30</v>
      </c>
      <c r="I26" s="2">
        <f t="shared" si="20"/>
        <v>203</v>
      </c>
      <c r="J26" s="2">
        <v>2</v>
      </c>
      <c r="K26" s="2">
        <v>1200</v>
      </c>
      <c r="L26" s="2">
        <v>2</v>
      </c>
      <c r="R26" s="20"/>
      <c r="T26" s="10"/>
      <c r="U26" s="21"/>
      <c r="AJ26" s="10"/>
      <c r="AK26" s="10"/>
      <c r="AL26" s="37"/>
    </row>
    <row r="27" spans="1:38" s="2" customFormat="1" ht="14.25">
      <c r="A27" s="2">
        <f t="shared" si="18"/>
        <v>230002</v>
      </c>
      <c r="B27" s="12" t="s">
        <v>104</v>
      </c>
      <c r="C27" s="11">
        <f t="shared" ref="C27:C28" si="22">C26</f>
        <v>230001</v>
      </c>
      <c r="D27" s="2">
        <f t="shared" si="15"/>
        <v>2</v>
      </c>
      <c r="E27" s="2">
        <f t="shared" si="16"/>
        <v>2</v>
      </c>
      <c r="F27" s="10">
        <f t="shared" si="1"/>
        <v>230003</v>
      </c>
      <c r="G27" s="10">
        <f t="shared" si="6"/>
        <v>2000</v>
      </c>
      <c r="H27" s="10">
        <v>35</v>
      </c>
      <c r="I27" s="2">
        <f t="shared" si="20"/>
        <v>203</v>
      </c>
      <c r="J27" s="2">
        <v>2</v>
      </c>
      <c r="K27" s="2">
        <v>1200</v>
      </c>
      <c r="L27" s="2">
        <v>2</v>
      </c>
      <c r="R27" s="20"/>
      <c r="T27" s="10"/>
      <c r="U27" s="21"/>
      <c r="AJ27" s="10"/>
      <c r="AK27" s="10"/>
      <c r="AL27" s="37"/>
    </row>
    <row r="28" spans="1:38" s="2" customFormat="1" ht="14.25">
      <c r="A28" s="2">
        <f t="shared" si="18"/>
        <v>230003</v>
      </c>
      <c r="B28" s="12" t="s">
        <v>104</v>
      </c>
      <c r="C28" s="11">
        <f t="shared" si="22"/>
        <v>230001</v>
      </c>
      <c r="D28" s="2">
        <f t="shared" si="15"/>
        <v>2</v>
      </c>
      <c r="E28" s="2">
        <f t="shared" si="16"/>
        <v>3</v>
      </c>
      <c r="F28" s="10">
        <f t="shared" si="1"/>
        <v>0</v>
      </c>
      <c r="G28" s="10">
        <f t="shared" si="6"/>
        <v>3000</v>
      </c>
      <c r="H28" s="10">
        <v>40</v>
      </c>
      <c r="I28" s="2">
        <f t="shared" si="20"/>
        <v>203</v>
      </c>
      <c r="J28" s="2">
        <v>2</v>
      </c>
      <c r="K28" s="2">
        <v>1200</v>
      </c>
      <c r="L28" s="2">
        <v>2</v>
      </c>
      <c r="R28" s="20"/>
      <c r="T28" s="10"/>
      <c r="U28" s="21"/>
      <c r="AJ28" s="10"/>
      <c r="AK28" s="10"/>
      <c r="AL28" s="37"/>
    </row>
    <row r="29" spans="1:38" s="2" customFormat="1" ht="14.25">
      <c r="A29" s="2">
        <f t="shared" si="18"/>
        <v>240001</v>
      </c>
      <c r="B29" s="12" t="s">
        <v>105</v>
      </c>
      <c r="C29" s="11">
        <f t="shared" ref="C29" si="23">A29</f>
        <v>240001</v>
      </c>
      <c r="D29" s="2">
        <f t="shared" si="15"/>
        <v>2</v>
      </c>
      <c r="E29" s="2">
        <f t="shared" si="16"/>
        <v>1</v>
      </c>
      <c r="F29" s="10">
        <f t="shared" si="1"/>
        <v>240002</v>
      </c>
      <c r="G29" s="10">
        <f t="shared" si="6"/>
        <v>1000</v>
      </c>
      <c r="H29" s="10">
        <v>45</v>
      </c>
      <c r="I29" s="2">
        <f t="shared" si="20"/>
        <v>204</v>
      </c>
      <c r="J29" s="2">
        <v>2</v>
      </c>
      <c r="K29" s="2">
        <v>1200</v>
      </c>
      <c r="L29" s="2">
        <v>2</v>
      </c>
      <c r="R29" s="20"/>
      <c r="T29" s="10"/>
      <c r="U29" s="21"/>
      <c r="AJ29" s="10"/>
      <c r="AK29" s="10"/>
      <c r="AL29" s="37"/>
    </row>
    <row r="30" spans="1:38" s="2" customFormat="1" ht="14.25">
      <c r="A30" s="2">
        <f t="shared" si="18"/>
        <v>240002</v>
      </c>
      <c r="B30" s="12" t="s">
        <v>105</v>
      </c>
      <c r="C30" s="11">
        <f t="shared" ref="C30:C31" si="24">C29</f>
        <v>240001</v>
      </c>
      <c r="D30" s="2">
        <f t="shared" si="15"/>
        <v>2</v>
      </c>
      <c r="E30" s="2">
        <f t="shared" si="16"/>
        <v>2</v>
      </c>
      <c r="F30" s="10">
        <f t="shared" si="1"/>
        <v>240003</v>
      </c>
      <c r="G30" s="10">
        <f t="shared" si="6"/>
        <v>2000</v>
      </c>
      <c r="H30" s="10">
        <v>50</v>
      </c>
      <c r="I30" s="2">
        <f t="shared" si="20"/>
        <v>204</v>
      </c>
      <c r="J30" s="2">
        <v>2</v>
      </c>
      <c r="K30" s="2">
        <v>1200</v>
      </c>
      <c r="L30" s="2">
        <v>2</v>
      </c>
      <c r="R30" s="20"/>
      <c r="T30" s="10"/>
      <c r="U30" s="21"/>
      <c r="AJ30" s="10"/>
      <c r="AK30" s="10"/>
      <c r="AL30" s="37"/>
    </row>
    <row r="31" spans="1:38" s="2" customFormat="1" ht="14.25">
      <c r="A31" s="2">
        <f t="shared" si="18"/>
        <v>240003</v>
      </c>
      <c r="B31" s="12" t="s">
        <v>105</v>
      </c>
      <c r="C31" s="11">
        <f t="shared" si="24"/>
        <v>240001</v>
      </c>
      <c r="D31" s="2">
        <f t="shared" si="15"/>
        <v>2</v>
      </c>
      <c r="E31" s="2">
        <f t="shared" si="16"/>
        <v>3</v>
      </c>
      <c r="F31" s="10">
        <f t="shared" si="1"/>
        <v>0</v>
      </c>
      <c r="G31" s="10">
        <f t="shared" si="6"/>
        <v>3000</v>
      </c>
      <c r="H31" s="10">
        <v>55</v>
      </c>
      <c r="I31" s="2">
        <f t="shared" si="20"/>
        <v>204</v>
      </c>
      <c r="J31" s="2">
        <v>2</v>
      </c>
      <c r="K31" s="2">
        <v>1200</v>
      </c>
      <c r="L31" s="2">
        <v>2</v>
      </c>
      <c r="R31" s="20"/>
      <c r="T31" s="10"/>
      <c r="U31" s="21"/>
      <c r="AJ31" s="10"/>
      <c r="AK31" s="10"/>
      <c r="AL31" s="37"/>
    </row>
    <row r="32" spans="1:38" s="2" customFormat="1" ht="14.25">
      <c r="A32" s="2">
        <f t="shared" si="18"/>
        <v>250001</v>
      </c>
      <c r="B32" s="12" t="s">
        <v>108</v>
      </c>
      <c r="C32" s="11">
        <f t="shared" ref="C32" si="25">A32</f>
        <v>250001</v>
      </c>
      <c r="D32" s="2">
        <f t="shared" si="15"/>
        <v>2</v>
      </c>
      <c r="E32" s="2">
        <f t="shared" si="16"/>
        <v>1</v>
      </c>
      <c r="F32" s="10">
        <f t="shared" si="1"/>
        <v>250002</v>
      </c>
      <c r="G32" s="10">
        <f t="shared" si="6"/>
        <v>1000</v>
      </c>
      <c r="H32" s="10">
        <v>60</v>
      </c>
      <c r="I32" s="2">
        <f t="shared" si="20"/>
        <v>205</v>
      </c>
      <c r="J32" s="2">
        <v>2</v>
      </c>
      <c r="K32" s="2">
        <v>1200</v>
      </c>
      <c r="L32" s="2">
        <v>2</v>
      </c>
      <c r="R32" s="20"/>
      <c r="T32" s="10"/>
      <c r="U32" s="21"/>
      <c r="AJ32" s="10"/>
      <c r="AK32" s="10"/>
      <c r="AL32" s="37"/>
    </row>
    <row r="33" spans="1:38" s="2" customFormat="1" ht="14.25">
      <c r="A33" s="2">
        <f t="shared" si="18"/>
        <v>250002</v>
      </c>
      <c r="B33" s="12" t="s">
        <v>108</v>
      </c>
      <c r="C33" s="11">
        <f t="shared" ref="C33:C34" si="26">C32</f>
        <v>250001</v>
      </c>
      <c r="D33" s="2">
        <f t="shared" si="15"/>
        <v>2</v>
      </c>
      <c r="E33" s="2">
        <f t="shared" si="16"/>
        <v>2</v>
      </c>
      <c r="F33" s="10">
        <f t="shared" si="1"/>
        <v>250003</v>
      </c>
      <c r="G33" s="10">
        <f t="shared" si="6"/>
        <v>2000</v>
      </c>
      <c r="H33" s="10">
        <v>65</v>
      </c>
      <c r="I33" s="2">
        <f t="shared" si="20"/>
        <v>205</v>
      </c>
      <c r="J33" s="2">
        <v>2</v>
      </c>
      <c r="K33" s="2">
        <v>1200</v>
      </c>
      <c r="L33" s="2">
        <v>2</v>
      </c>
      <c r="R33" s="20"/>
      <c r="T33" s="10"/>
      <c r="U33" s="21"/>
      <c r="AJ33" s="10"/>
      <c r="AK33" s="10"/>
      <c r="AL33" s="37"/>
    </row>
    <row r="34" spans="1:38" s="2" customFormat="1" ht="14.25">
      <c r="A34" s="2">
        <f t="shared" si="18"/>
        <v>250003</v>
      </c>
      <c r="B34" s="12" t="s">
        <v>108</v>
      </c>
      <c r="C34" s="11">
        <f t="shared" si="26"/>
        <v>250001</v>
      </c>
      <c r="D34" s="2">
        <f t="shared" si="15"/>
        <v>2</v>
      </c>
      <c r="E34" s="2">
        <f t="shared" si="16"/>
        <v>3</v>
      </c>
      <c r="F34" s="10">
        <f t="shared" si="1"/>
        <v>0</v>
      </c>
      <c r="G34" s="10">
        <f t="shared" si="6"/>
        <v>3000</v>
      </c>
      <c r="H34" s="10">
        <v>70</v>
      </c>
      <c r="I34" s="2">
        <f t="shared" si="20"/>
        <v>205</v>
      </c>
      <c r="J34" s="2">
        <v>2</v>
      </c>
      <c r="K34" s="2">
        <v>1200</v>
      </c>
      <c r="L34" s="2">
        <v>2</v>
      </c>
      <c r="R34" s="20"/>
      <c r="T34" s="10"/>
      <c r="U34" s="21"/>
      <c r="AJ34" s="10"/>
      <c r="AK34" s="10"/>
      <c r="AL34" s="37"/>
    </row>
    <row r="35" spans="1:38" s="3" customFormat="1" ht="14.25">
      <c r="A35" s="3">
        <v>310001</v>
      </c>
      <c r="B35" s="13" t="s">
        <v>110</v>
      </c>
      <c r="C35" s="11">
        <f>A35</f>
        <v>310001</v>
      </c>
      <c r="D35" s="2">
        <f t="shared" si="15"/>
        <v>3</v>
      </c>
      <c r="E35" s="2">
        <f t="shared" si="16"/>
        <v>1</v>
      </c>
      <c r="F35" s="10">
        <f t="shared" si="1"/>
        <v>310002</v>
      </c>
      <c r="G35" s="10">
        <f t="shared" si="6"/>
        <v>1000</v>
      </c>
      <c r="H35" s="10">
        <v>1</v>
      </c>
      <c r="I35" s="3">
        <v>301</v>
      </c>
      <c r="J35" s="3">
        <v>3</v>
      </c>
      <c r="K35" s="3">
        <v>1200</v>
      </c>
      <c r="L35" s="3">
        <v>2</v>
      </c>
      <c r="M35" s="3">
        <v>1</v>
      </c>
      <c r="N35" s="3">
        <v>0</v>
      </c>
      <c r="O35" s="3">
        <v>0</v>
      </c>
      <c r="P35" s="3">
        <v>0</v>
      </c>
      <c r="Q35" s="3">
        <v>5</v>
      </c>
      <c r="R35" s="22">
        <v>0</v>
      </c>
      <c r="S35" s="3">
        <v>100</v>
      </c>
      <c r="T35" s="10" t="s">
        <v>140</v>
      </c>
      <c r="U35" s="23">
        <v>3</v>
      </c>
      <c r="V35" s="3">
        <v>2</v>
      </c>
      <c r="W35" s="3">
        <v>8500</v>
      </c>
      <c r="X35" s="3">
        <v>80</v>
      </c>
      <c r="Y35" s="3">
        <v>10000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30004</v>
      </c>
      <c r="AH35" s="3">
        <v>4</v>
      </c>
      <c r="AI35" s="3">
        <v>480</v>
      </c>
      <c r="AJ35" s="10">
        <v>1</v>
      </c>
      <c r="AK35" s="10">
        <f t="shared" ref="AK35:AK37" si="27">IF(AJ35&gt;0,1000,0)</f>
        <v>1000</v>
      </c>
      <c r="AL35" s="37" t="s">
        <v>111</v>
      </c>
    </row>
    <row r="36" spans="1:38" s="3" customFormat="1" ht="14.25">
      <c r="A36" s="3">
        <v>310002</v>
      </c>
      <c r="B36" s="13" t="s">
        <v>110</v>
      </c>
      <c r="C36" s="11">
        <f>C35</f>
        <v>310001</v>
      </c>
      <c r="D36" s="2">
        <f t="shared" si="15"/>
        <v>3</v>
      </c>
      <c r="E36" s="2">
        <f t="shared" si="16"/>
        <v>2</v>
      </c>
      <c r="F36" s="10">
        <f t="shared" si="1"/>
        <v>310003</v>
      </c>
      <c r="G36" s="10">
        <f t="shared" si="6"/>
        <v>2000</v>
      </c>
      <c r="H36" s="10">
        <v>5</v>
      </c>
      <c r="I36" s="3">
        <v>301</v>
      </c>
      <c r="J36" s="3">
        <v>3</v>
      </c>
      <c r="K36" s="3">
        <v>1200</v>
      </c>
      <c r="L36" s="3">
        <v>2</v>
      </c>
      <c r="M36" s="3">
        <v>1</v>
      </c>
      <c r="N36" s="3">
        <v>0</v>
      </c>
      <c r="O36" s="3">
        <v>0</v>
      </c>
      <c r="P36" s="3">
        <v>0</v>
      </c>
      <c r="Q36" s="3">
        <v>6</v>
      </c>
      <c r="R36" s="22">
        <v>0</v>
      </c>
      <c r="S36" s="3">
        <v>100</v>
      </c>
      <c r="T36" s="10" t="s">
        <v>140</v>
      </c>
      <c r="U36" s="23">
        <v>3</v>
      </c>
      <c r="V36" s="3">
        <v>2</v>
      </c>
      <c r="W36" s="3">
        <v>8700</v>
      </c>
      <c r="X36" s="3">
        <v>160</v>
      </c>
      <c r="Y36" s="3">
        <v>10000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30004</v>
      </c>
      <c r="AH36" s="3">
        <v>4</v>
      </c>
      <c r="AI36" s="3">
        <v>480</v>
      </c>
      <c r="AJ36" s="10">
        <v>1</v>
      </c>
      <c r="AK36" s="10">
        <f t="shared" si="27"/>
        <v>1000</v>
      </c>
      <c r="AL36" s="37" t="s">
        <v>112</v>
      </c>
    </row>
    <row r="37" spans="1:38" s="3" customFormat="1" ht="14.25">
      <c r="A37" s="3">
        <v>310003</v>
      </c>
      <c r="B37" s="13" t="s">
        <v>110</v>
      </c>
      <c r="C37" s="11">
        <f>C36</f>
        <v>310001</v>
      </c>
      <c r="D37" s="2">
        <f t="shared" si="15"/>
        <v>3</v>
      </c>
      <c r="E37" s="2">
        <f t="shared" si="16"/>
        <v>3</v>
      </c>
      <c r="F37" s="10">
        <f t="shared" si="1"/>
        <v>0</v>
      </c>
      <c r="G37" s="10">
        <f t="shared" si="6"/>
        <v>3000</v>
      </c>
      <c r="H37" s="10">
        <v>10</v>
      </c>
      <c r="I37" s="3">
        <v>301</v>
      </c>
      <c r="J37" s="3">
        <v>3</v>
      </c>
      <c r="K37" s="3">
        <v>1200</v>
      </c>
      <c r="L37" s="3">
        <v>2</v>
      </c>
      <c r="M37" s="3">
        <v>1</v>
      </c>
      <c r="N37" s="3">
        <v>0</v>
      </c>
      <c r="O37" s="3">
        <v>0</v>
      </c>
      <c r="P37" s="3">
        <v>0</v>
      </c>
      <c r="Q37" s="3">
        <v>7</v>
      </c>
      <c r="R37" s="22">
        <v>0</v>
      </c>
      <c r="S37" s="3">
        <v>100</v>
      </c>
      <c r="T37" s="10" t="s">
        <v>140</v>
      </c>
      <c r="U37" s="23">
        <v>3</v>
      </c>
      <c r="V37" s="3">
        <v>2</v>
      </c>
      <c r="W37" s="3">
        <v>8900</v>
      </c>
      <c r="X37" s="3">
        <v>240</v>
      </c>
      <c r="Y37" s="3">
        <v>10000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30004</v>
      </c>
      <c r="AH37" s="3">
        <v>4</v>
      </c>
      <c r="AI37" s="3">
        <v>480</v>
      </c>
      <c r="AJ37" s="10">
        <v>1</v>
      </c>
      <c r="AK37" s="10">
        <f t="shared" si="27"/>
        <v>1000</v>
      </c>
      <c r="AL37" s="37" t="s">
        <v>113</v>
      </c>
    </row>
    <row r="38" spans="1:38" s="3" customFormat="1" ht="14.25">
      <c r="A38" s="3">
        <f>A35+10000</f>
        <v>320001</v>
      </c>
      <c r="B38" s="13" t="s">
        <v>114</v>
      </c>
      <c r="C38" s="11">
        <f t="shared" ref="C38" si="28">A38</f>
        <v>320001</v>
      </c>
      <c r="D38" s="2">
        <f t="shared" si="15"/>
        <v>3</v>
      </c>
      <c r="E38" s="2">
        <f t="shared" si="16"/>
        <v>1</v>
      </c>
      <c r="F38" s="10">
        <f t="shared" si="1"/>
        <v>320002</v>
      </c>
      <c r="G38" s="10">
        <f t="shared" si="6"/>
        <v>1000</v>
      </c>
      <c r="H38" s="10">
        <v>15</v>
      </c>
      <c r="I38" s="3">
        <f>I35+1</f>
        <v>302</v>
      </c>
      <c r="J38" s="3">
        <v>3</v>
      </c>
      <c r="K38" s="3">
        <v>1200</v>
      </c>
      <c r="L38" s="3">
        <v>2</v>
      </c>
      <c r="R38" s="22"/>
      <c r="T38" s="10"/>
      <c r="U38" s="23"/>
      <c r="AJ38" s="10"/>
      <c r="AK38" s="10"/>
      <c r="AL38" s="37"/>
    </row>
    <row r="39" spans="1:38" ht="14.25">
      <c r="A39" s="3">
        <f t="shared" ref="A39:A49" si="29">A36+10000</f>
        <v>320002</v>
      </c>
      <c r="B39" s="13" t="s">
        <v>114</v>
      </c>
      <c r="C39" s="11">
        <f t="shared" ref="C39:C40" si="30">C38</f>
        <v>320001</v>
      </c>
      <c r="D39" s="2">
        <f t="shared" si="15"/>
        <v>3</v>
      </c>
      <c r="E39" s="2">
        <f t="shared" si="16"/>
        <v>2</v>
      </c>
      <c r="F39" s="10">
        <f t="shared" si="1"/>
        <v>320003</v>
      </c>
      <c r="G39" s="10">
        <f t="shared" si="6"/>
        <v>2000</v>
      </c>
      <c r="H39" s="10">
        <v>20</v>
      </c>
      <c r="I39" s="3">
        <f t="shared" ref="I39:I49" si="31">I36+1</f>
        <v>302</v>
      </c>
      <c r="J39" s="3">
        <v>3</v>
      </c>
      <c r="K39" s="3">
        <v>1200</v>
      </c>
      <c r="L39" s="3">
        <v>2</v>
      </c>
    </row>
    <row r="40" spans="1:38" ht="14.25">
      <c r="A40" s="3">
        <f t="shared" si="29"/>
        <v>320003</v>
      </c>
      <c r="B40" s="13" t="s">
        <v>114</v>
      </c>
      <c r="C40" s="11">
        <f t="shared" si="30"/>
        <v>320001</v>
      </c>
      <c r="D40" s="2">
        <f t="shared" si="15"/>
        <v>3</v>
      </c>
      <c r="E40" s="2">
        <f t="shared" si="16"/>
        <v>3</v>
      </c>
      <c r="F40" s="10">
        <f t="shared" si="1"/>
        <v>0</v>
      </c>
      <c r="G40" s="10">
        <f t="shared" si="6"/>
        <v>3000</v>
      </c>
      <c r="H40" s="10">
        <v>25</v>
      </c>
      <c r="I40" s="3">
        <f t="shared" si="31"/>
        <v>302</v>
      </c>
      <c r="J40" s="3">
        <v>3</v>
      </c>
      <c r="K40" s="3">
        <v>1200</v>
      </c>
      <c r="L40" s="3">
        <v>2</v>
      </c>
    </row>
    <row r="41" spans="1:38" ht="14.25">
      <c r="A41" s="3">
        <f t="shared" si="29"/>
        <v>330001</v>
      </c>
      <c r="B41" s="13" t="s">
        <v>115</v>
      </c>
      <c r="C41" s="11">
        <f t="shared" ref="C41" si="32">A41</f>
        <v>330001</v>
      </c>
      <c r="D41" s="2">
        <f t="shared" si="15"/>
        <v>3</v>
      </c>
      <c r="E41" s="2">
        <f t="shared" si="16"/>
        <v>1</v>
      </c>
      <c r="F41" s="10">
        <f t="shared" si="1"/>
        <v>330002</v>
      </c>
      <c r="G41" s="10">
        <f t="shared" si="6"/>
        <v>1000</v>
      </c>
      <c r="H41" s="10">
        <v>30</v>
      </c>
      <c r="I41" s="3">
        <f t="shared" si="31"/>
        <v>303</v>
      </c>
      <c r="J41" s="3">
        <v>3</v>
      </c>
      <c r="K41" s="3">
        <v>1200</v>
      </c>
      <c r="L41" s="3">
        <v>2</v>
      </c>
    </row>
    <row r="42" spans="1:38" ht="14.25">
      <c r="A42" s="3">
        <f t="shared" si="29"/>
        <v>330002</v>
      </c>
      <c r="B42" s="13" t="s">
        <v>115</v>
      </c>
      <c r="C42" s="11">
        <f t="shared" ref="C42:C43" si="33">C41</f>
        <v>330001</v>
      </c>
      <c r="D42" s="2">
        <f t="shared" si="15"/>
        <v>3</v>
      </c>
      <c r="E42" s="2">
        <f t="shared" si="16"/>
        <v>2</v>
      </c>
      <c r="F42" s="10">
        <f t="shared" si="1"/>
        <v>330003</v>
      </c>
      <c r="G42" s="10">
        <f t="shared" si="6"/>
        <v>2000</v>
      </c>
      <c r="H42" s="10">
        <v>35</v>
      </c>
      <c r="I42" s="3">
        <f t="shared" si="31"/>
        <v>303</v>
      </c>
      <c r="J42" s="3">
        <v>3</v>
      </c>
      <c r="K42" s="3">
        <v>1200</v>
      </c>
      <c r="L42" s="3">
        <v>2</v>
      </c>
    </row>
    <row r="43" spans="1:38" ht="14.25">
      <c r="A43" s="3">
        <f t="shared" si="29"/>
        <v>330003</v>
      </c>
      <c r="B43" s="13" t="s">
        <v>115</v>
      </c>
      <c r="C43" s="11">
        <f t="shared" si="33"/>
        <v>330001</v>
      </c>
      <c r="D43" s="2">
        <f t="shared" si="15"/>
        <v>3</v>
      </c>
      <c r="E43" s="2">
        <f t="shared" si="16"/>
        <v>3</v>
      </c>
      <c r="F43" s="10">
        <f t="shared" si="1"/>
        <v>0</v>
      </c>
      <c r="G43" s="10">
        <f t="shared" si="6"/>
        <v>3000</v>
      </c>
      <c r="H43" s="10">
        <v>40</v>
      </c>
      <c r="I43" s="3">
        <f t="shared" si="31"/>
        <v>303</v>
      </c>
      <c r="J43" s="3">
        <v>3</v>
      </c>
      <c r="K43" s="3">
        <v>1200</v>
      </c>
      <c r="L43" s="3">
        <v>2</v>
      </c>
    </row>
    <row r="44" spans="1:38" ht="14.25">
      <c r="A44" s="3">
        <f t="shared" si="29"/>
        <v>340001</v>
      </c>
      <c r="B44" s="13" t="s">
        <v>116</v>
      </c>
      <c r="C44" s="11">
        <f t="shared" ref="C44" si="34">A44</f>
        <v>340001</v>
      </c>
      <c r="D44" s="2">
        <f t="shared" si="15"/>
        <v>3</v>
      </c>
      <c r="E44" s="2">
        <f t="shared" si="16"/>
        <v>1</v>
      </c>
      <c r="F44" s="10">
        <f t="shared" si="1"/>
        <v>340002</v>
      </c>
      <c r="G44" s="10">
        <f t="shared" si="6"/>
        <v>1000</v>
      </c>
      <c r="H44" s="10">
        <v>45</v>
      </c>
      <c r="I44" s="3">
        <f t="shared" si="31"/>
        <v>304</v>
      </c>
      <c r="J44" s="3">
        <v>3</v>
      </c>
      <c r="K44" s="3">
        <v>1200</v>
      </c>
      <c r="L44" s="3">
        <v>2</v>
      </c>
    </row>
    <row r="45" spans="1:38" ht="14.25">
      <c r="A45" s="3">
        <f t="shared" si="29"/>
        <v>340002</v>
      </c>
      <c r="B45" s="13" t="s">
        <v>116</v>
      </c>
      <c r="C45" s="11">
        <f t="shared" ref="C45:C46" si="35">C44</f>
        <v>340001</v>
      </c>
      <c r="D45" s="2">
        <f t="shared" si="15"/>
        <v>3</v>
      </c>
      <c r="E45" s="2">
        <f t="shared" si="16"/>
        <v>2</v>
      </c>
      <c r="F45" s="10">
        <f t="shared" si="1"/>
        <v>340003</v>
      </c>
      <c r="G45" s="10">
        <f t="shared" si="6"/>
        <v>2000</v>
      </c>
      <c r="H45" s="10">
        <v>50</v>
      </c>
      <c r="I45" s="3">
        <f t="shared" si="31"/>
        <v>304</v>
      </c>
      <c r="J45" s="3">
        <v>3</v>
      </c>
      <c r="K45" s="3">
        <v>1200</v>
      </c>
      <c r="L45" s="3">
        <v>2</v>
      </c>
    </row>
    <row r="46" spans="1:38" ht="14.25">
      <c r="A46" s="3">
        <f t="shared" si="29"/>
        <v>340003</v>
      </c>
      <c r="B46" s="13" t="s">
        <v>116</v>
      </c>
      <c r="C46" s="11">
        <f t="shared" si="35"/>
        <v>340001</v>
      </c>
      <c r="D46" s="2">
        <f t="shared" si="15"/>
        <v>3</v>
      </c>
      <c r="E46" s="2">
        <f t="shared" si="16"/>
        <v>3</v>
      </c>
      <c r="F46" s="10">
        <f t="shared" si="1"/>
        <v>0</v>
      </c>
      <c r="G46" s="10">
        <f t="shared" si="6"/>
        <v>3000</v>
      </c>
      <c r="H46" s="10">
        <v>55</v>
      </c>
      <c r="I46" s="3">
        <f t="shared" si="31"/>
        <v>304</v>
      </c>
      <c r="J46" s="3">
        <v>3</v>
      </c>
      <c r="K46" s="3">
        <v>1200</v>
      </c>
      <c r="L46" s="3">
        <v>2</v>
      </c>
    </row>
    <row r="47" spans="1:38" ht="14.25">
      <c r="A47" s="3">
        <f t="shared" si="29"/>
        <v>350001</v>
      </c>
      <c r="B47" s="13" t="s">
        <v>117</v>
      </c>
      <c r="C47" s="11">
        <f t="shared" ref="C47" si="36">A47</f>
        <v>350001</v>
      </c>
      <c r="D47" s="2">
        <f t="shared" si="15"/>
        <v>3</v>
      </c>
      <c r="E47" s="2">
        <f t="shared" si="16"/>
        <v>1</v>
      </c>
      <c r="F47" s="10">
        <f t="shared" si="1"/>
        <v>350002</v>
      </c>
      <c r="G47" s="10">
        <f t="shared" si="6"/>
        <v>1000</v>
      </c>
      <c r="H47" s="10">
        <v>60</v>
      </c>
      <c r="I47" s="3">
        <f t="shared" si="31"/>
        <v>305</v>
      </c>
      <c r="J47" s="3">
        <v>3</v>
      </c>
      <c r="K47" s="3">
        <v>1200</v>
      </c>
      <c r="L47" s="3">
        <v>2</v>
      </c>
    </row>
    <row r="48" spans="1:38" ht="14.25">
      <c r="A48" s="3">
        <f t="shared" si="29"/>
        <v>350002</v>
      </c>
      <c r="B48" s="13" t="s">
        <v>117</v>
      </c>
      <c r="C48" s="11">
        <f t="shared" ref="C48:C49" si="37">C47</f>
        <v>350001</v>
      </c>
      <c r="D48" s="2">
        <f t="shared" si="15"/>
        <v>3</v>
      </c>
      <c r="E48" s="2">
        <f t="shared" si="16"/>
        <v>2</v>
      </c>
      <c r="F48" s="10">
        <f t="shared" si="1"/>
        <v>350003</v>
      </c>
      <c r="G48" s="10">
        <f t="shared" si="6"/>
        <v>2000</v>
      </c>
      <c r="H48" s="10">
        <v>65</v>
      </c>
      <c r="I48" s="3">
        <f t="shared" si="31"/>
        <v>305</v>
      </c>
      <c r="J48" s="3">
        <v>3</v>
      </c>
      <c r="K48" s="3">
        <v>1200</v>
      </c>
      <c r="L48" s="3">
        <v>2</v>
      </c>
    </row>
    <row r="49" spans="1:12" ht="14.25">
      <c r="A49" s="3">
        <f t="shared" si="29"/>
        <v>350003</v>
      </c>
      <c r="B49" s="13" t="s">
        <v>117</v>
      </c>
      <c r="C49" s="11">
        <f t="shared" si="37"/>
        <v>350001</v>
      </c>
      <c r="D49" s="2">
        <f t="shared" si="15"/>
        <v>3</v>
      </c>
      <c r="E49" s="2">
        <f t="shared" si="16"/>
        <v>3</v>
      </c>
      <c r="F49" s="10">
        <f t="shared" si="1"/>
        <v>0</v>
      </c>
      <c r="G49" s="10">
        <f t="shared" si="6"/>
        <v>3000</v>
      </c>
      <c r="H49" s="10">
        <v>70</v>
      </c>
      <c r="I49" s="3">
        <f t="shared" si="31"/>
        <v>305</v>
      </c>
      <c r="J49" s="3">
        <v>3</v>
      </c>
      <c r="K49" s="3">
        <v>1200</v>
      </c>
      <c r="L49" s="3">
        <v>2</v>
      </c>
    </row>
  </sheetData>
  <phoneticPr fontId="10" type="noConversion"/>
  <pageMargins left="0.69930555555555596" right="0.69930555555555596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奇虎 360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樊英杰</dc:creator>
  <cp:lastModifiedBy>Windows 用户</cp:lastModifiedBy>
  <dcterms:created xsi:type="dcterms:W3CDTF">2014-11-10T02:44:00Z</dcterms:created>
  <dcterms:modified xsi:type="dcterms:W3CDTF">2017-07-10T06:36:51Z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